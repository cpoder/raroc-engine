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eriods" sheetId="2" state="visible" r:id="rId2"/>
    <sheet xmlns:r="http://schemas.openxmlformats.org/officeDocument/2006/relationships" name="Aggre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Fixture ID</t>
        </is>
      </c>
      <c r="B1" t="inlineStr">
        <is>
          <t>period_projfin_10y_grace</t>
        </is>
      </c>
    </row>
    <row r="2">
      <c r="A2" t="inlineStr">
        <is>
          <t>Description</t>
        </is>
      </c>
      <c r="B2" t="inlineStr">
        <is>
          <t>10y project finance: 100M commitment, 3y drawdown ramp (30→70→100M), 2y grace (100M drawn), 4y amortise (100→20M), bullet 20M repaid end-y10. BB+ sponsor (Ba1), project-asset security (GRR 0.30). 225bp spread, 35bp commit fee on undrawn portion, 1M upfront in year 1.</t>
        </is>
      </c>
    </row>
    <row r="3">
      <c r="A3" t="inlineStr">
        <is>
          <t>Currency</t>
        </is>
      </c>
      <c r="B3" t="inlineStr">
        <is>
          <t>EUR</t>
        </is>
      </c>
    </row>
    <row r="4">
      <c r="A4" t="inlineStr">
        <is>
          <t>Product type</t>
        </is>
      </c>
      <c r="B4" t="inlineStr">
        <is>
          <t>mlt_credit</t>
        </is>
      </c>
    </row>
    <row r="5">
      <c r="A5" t="inlineStr"/>
      <c r="B5" t="inlineStr"/>
    </row>
    <row r="6">
      <c r="A6" s="1" t="inlineStr">
        <is>
          <t>─ Engine config ─</t>
        </is>
      </c>
      <c r="B6" t="inlineStr"/>
    </row>
    <row r="7">
      <c r="A7" t="inlineStr">
        <is>
          <t>Regime</t>
        </is>
      </c>
      <c r="B7" t="inlineStr">
        <is>
          <t>basel3</t>
        </is>
      </c>
    </row>
    <row r="8">
      <c r="A8" t="inlineStr">
        <is>
          <t>Risk-free rate</t>
        </is>
      </c>
      <c r="B8" t="n">
        <v>0.0325</v>
      </c>
    </row>
    <row r="9">
      <c r="A9" t="inlineStr">
        <is>
          <t>Bank tax rate</t>
        </is>
      </c>
      <c r="B9" t="n">
        <v>0.25</v>
      </c>
    </row>
    <row r="10">
      <c r="A10" t="inlineStr">
        <is>
          <t>Funding cost (decimal)</t>
        </is>
      </c>
      <c r="B10" t="n">
        <v>0</v>
      </c>
    </row>
    <row r="11">
      <c r="A11" t="inlineStr">
        <is>
          <t>Cost-income ratio</t>
        </is>
      </c>
      <c r="B11" t="n">
        <v>0.4</v>
      </c>
    </row>
    <row r="12">
      <c r="A12" t="inlineStr">
        <is>
          <t>Output floor %</t>
        </is>
      </c>
      <c r="B12" t="n">
        <v>0.55</v>
      </c>
    </row>
    <row r="13">
      <c r="A13" t="inlineStr">
        <is>
          <t>PD floor</t>
        </is>
      </c>
      <c r="B13" t="n">
        <v>0.0005</v>
      </c>
    </row>
    <row r="14">
      <c r="A14" t="inlineStr">
        <is>
          <t>LGD floor — unsecured</t>
        </is>
      </c>
      <c r="B14" t="n">
        <v>0.25</v>
      </c>
    </row>
    <row r="15">
      <c r="A15" t="inlineStr">
        <is>
          <t>LGD floor — secured</t>
        </is>
      </c>
      <c r="B15" t="n">
        <v>0.1</v>
      </c>
    </row>
    <row r="16">
      <c r="A16" t="inlineStr">
        <is>
          <t>Default collateral type</t>
        </is>
      </c>
      <c r="B16" t="inlineStr">
        <is>
          <t>receivables</t>
        </is>
      </c>
    </row>
    <row r="17">
      <c r="A17" t="inlineStr"/>
      <c r="B17" t="inlineStr"/>
    </row>
    <row r="18">
      <c r="A18" s="1" t="inlineStr">
        <is>
          <t>─ Deal static ─</t>
        </is>
      </c>
      <c r="B18" t="inlineStr"/>
    </row>
    <row r="19">
      <c r="A19" t="inlineStr">
        <is>
          <t>Rating</t>
        </is>
      </c>
      <c r="B19" t="inlineStr">
        <is>
          <t>Ba1</t>
        </is>
      </c>
    </row>
    <row r="20">
      <c r="A20" t="inlineStr">
        <is>
          <t>PD (Ba1) raw</t>
        </is>
      </c>
      <c r="B20" t="n">
        <v>0.0038</v>
      </c>
    </row>
    <row r="21">
      <c r="A21" t="inlineStr">
        <is>
          <t>Global GRR</t>
        </is>
      </c>
      <c r="B21" t="n">
        <v>0.3</v>
      </c>
    </row>
    <row r="22">
      <c r="A22" t="inlineStr">
        <is>
          <t>Confirmed</t>
        </is>
      </c>
      <c r="B22" t="b">
        <v>1</v>
      </c>
    </row>
    <row r="23">
      <c r="A23" t="inlineStr">
        <is>
          <t>Spread</t>
        </is>
      </c>
      <c r="B23" t="n">
        <v>0.0225</v>
      </c>
    </row>
    <row r="24">
      <c r="A24" t="inlineStr">
        <is>
          <t>Commitment fee</t>
        </is>
      </c>
      <c r="B24" t="n">
        <v>0.0035</v>
      </c>
    </row>
    <row r="25">
      <c r="A25" t="inlineStr"/>
      <c r="B25" t="inlineStr"/>
    </row>
    <row r="26">
      <c r="A26" s="1" t="inlineStr">
        <is>
          <t>─ Discount ─</t>
        </is>
      </c>
      <c r="B26" t="inlineStr"/>
    </row>
    <row r="27">
      <c r="A27" t="inlineStr">
        <is>
          <t>Kind</t>
        </is>
      </c>
      <c r="B27" t="inlineStr">
        <is>
          <t>scalar</t>
        </is>
      </c>
    </row>
    <row r="28">
      <c r="A28" t="inlineStr">
        <is>
          <t>Rate</t>
        </is>
      </c>
      <c r="B28" t="n">
        <v>0.0325</v>
      </c>
    </row>
    <row r="29">
      <c r="A29" t="inlineStr">
        <is>
          <t>Day count</t>
        </is>
      </c>
      <c r="B29" t="inlineStr">
        <is>
          <t>Act/365F</t>
        </is>
      </c>
    </row>
    <row r="30">
      <c r="A30" t="inlineStr"/>
      <c r="B30" t="inlineStr"/>
    </row>
    <row r="31">
      <c r="A31" s="1" t="inlineStr">
        <is>
          <t>─ Formula notes ─</t>
        </is>
      </c>
      <c r="B31" t="inlineStr"/>
    </row>
    <row r="32">
      <c r="A32" t="inlineStr">
        <is>
          <t>PD (after floor)</t>
        </is>
      </c>
      <c r="B32">
        <f>MAX(PD_raw, PD_floor)</f>
        <v/>
      </c>
    </row>
    <row r="33">
      <c r="A33" t="inlineStr">
        <is>
          <t>LGD</t>
        </is>
      </c>
      <c r="B33">
        <f>MAX(1-GRR, LGD_floor)  (floor depends on collateral type)</f>
        <v/>
      </c>
    </row>
    <row r="34">
      <c r="A34" t="inlineStr">
        <is>
          <t>Exposure (confirmed MLT)</t>
        </is>
      </c>
      <c r="B34">
        <f>0.25*avg_drawn + 0.75*commitment</f>
        <v/>
      </c>
    </row>
    <row r="35">
      <c r="A35" t="inlineStr">
        <is>
          <t>R</t>
        </is>
      </c>
      <c r="B35">
        <f>0.12 * (1 + EXP(-50*PD) - 2*EXP(-50)) / (1 - EXP(-50))</f>
        <v/>
      </c>
    </row>
    <row r="36">
      <c r="A36" t="inlineStr">
        <is>
          <t>b</t>
        </is>
      </c>
      <c r="B36">
        <f>(0.11852 - 0.05478*LN(PD))^2</f>
        <v/>
      </c>
    </row>
    <row r="37">
      <c r="A37" t="inlineStr">
        <is>
          <t>z</t>
        </is>
      </c>
      <c r="B37">
        <f>SQRT(1/(1-R))*NORM.S.INV(PD) + SQRT(R/(1-R))*NORM.S.INV(0.999)</f>
        <v/>
      </c>
    </row>
    <row r="38">
      <c r="A38" t="inlineStr">
        <is>
          <t>K_irb</t>
        </is>
      </c>
      <c r="B38">
        <f>LGD * (NORM.S.DIST(z, TRUE) - PD) * (1 + (M-2.5)*b) / (1 - 1.5*b)</f>
        <v/>
      </c>
    </row>
    <row r="39">
      <c r="A39" t="inlineStr">
        <is>
          <t>SA_RW</t>
        </is>
      </c>
      <c r="B39" t="inlineStr">
        <is>
          <t>stepwise: 0.20|0.50|0.75|1.00|1.50 by PD bucket</t>
        </is>
      </c>
    </row>
    <row r="40">
      <c r="A40" t="inlineStr">
        <is>
          <t>K_floor</t>
        </is>
      </c>
      <c r="B40">
        <f>output_floor_pct * SA_RW / 12.5</f>
        <v/>
      </c>
    </row>
    <row r="41">
      <c r="A41" t="inlineStr">
        <is>
          <t>K</t>
        </is>
      </c>
      <c r="B41">
        <f>MAX(K_irb, K_floor)</f>
        <v/>
      </c>
    </row>
    <row r="42">
      <c r="A42" t="inlineStr">
        <is>
          <t>FPE</t>
        </is>
      </c>
      <c r="B42">
        <f>exposure * K</f>
        <v/>
      </c>
    </row>
    <row r="43">
      <c r="A43" t="inlineStr">
        <is>
          <t>EL</t>
        </is>
      </c>
      <c r="B43">
        <f>exposure * PD * (1-GRR) * dt_years</f>
        <v/>
      </c>
    </row>
    <row r="44">
      <c r="A44" t="inlineStr">
        <is>
          <t>Revenue</t>
        </is>
      </c>
      <c r="B44">
        <f>spread*avg_drawn*dt + commit_fee*(commitment-avg_drawn)*dt + period_fees</f>
        <v/>
      </c>
    </row>
    <row r="45">
      <c r="A45" t="inlineStr">
        <is>
          <t>Cost</t>
        </is>
      </c>
      <c r="B45">
        <f>revenue * cost_income_ratio</f>
        <v/>
      </c>
    </row>
    <row r="46">
      <c r="A46" t="inlineStr">
        <is>
          <t>Gross margin</t>
        </is>
      </c>
      <c r="B46">
        <f>revenue - cost - funding_cost</f>
        <v/>
      </c>
    </row>
    <row r="47">
      <c r="A47" t="inlineStr">
        <is>
          <t>FPE return</t>
        </is>
      </c>
      <c r="B47">
        <f>risk_free_rate * FPE * dt_years</f>
        <v/>
      </c>
    </row>
    <row r="48">
      <c r="A48" t="inlineStr">
        <is>
          <t>Net margin</t>
        </is>
      </c>
      <c r="B48">
        <f>gross_margin - EL + fpe_return</f>
        <v/>
      </c>
    </row>
    <row r="49">
      <c r="A49" t="inlineStr">
        <is>
          <t>RAROC</t>
        </is>
      </c>
      <c r="B49">
        <f>(1-tax) * ((revenue-cost-funding_cost-EL)/FPE + risk_free_rate)</f>
        <v/>
      </c>
    </row>
    <row r="50">
      <c r="A50" t="inlineStr">
        <is>
          <t>DF (end of period)</t>
        </is>
      </c>
      <c r="B50">
        <f>(1 + disc_rate) ^ (-t_end_years)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Period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dt_yr</t>
        </is>
      </c>
      <c r="E1" s="1" t="inlineStr">
        <is>
          <t>Commitment</t>
        </is>
      </c>
      <c r="F1" s="1" t="inlineStr">
        <is>
          <t>AvgDrawn</t>
        </is>
      </c>
      <c r="G1" s="1" t="inlineStr">
        <is>
          <t>M_remain_yr</t>
        </is>
      </c>
      <c r="H1" s="1" t="inlineStr">
        <is>
          <t>Upfront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Exposure</t>
        </is>
      </c>
      <c r="L1" s="1" t="inlineStr">
        <is>
          <t>PD</t>
        </is>
      </c>
      <c r="M1" s="1" t="inlineStr">
        <is>
          <t>PD_basel2</t>
        </is>
      </c>
      <c r="N1" s="1" t="inlineStr">
        <is>
          <t>LGD</t>
        </is>
      </c>
      <c r="O1" s="1" t="inlineStr">
        <is>
          <t>R</t>
        </is>
      </c>
      <c r="P1" s="1" t="inlineStr">
        <is>
          <t>b</t>
        </is>
      </c>
      <c r="Q1" s="1" t="inlineStr">
        <is>
          <t>z</t>
        </is>
      </c>
      <c r="R1" s="1" t="inlineStr">
        <is>
          <t>K_irb</t>
        </is>
      </c>
      <c r="S1" s="1" t="inlineStr">
        <is>
          <t>SA_RW</t>
        </is>
      </c>
      <c r="T1" s="1" t="inlineStr">
        <is>
          <t>K_floor</t>
        </is>
      </c>
      <c r="U1" s="1" t="inlineStr">
        <is>
          <t>K</t>
        </is>
      </c>
      <c r="V1" s="1" t="inlineStr">
        <is>
          <t>FPE</t>
        </is>
      </c>
      <c r="W1" s="1" t="inlineStr">
        <is>
          <t>EL</t>
        </is>
      </c>
      <c r="X1" s="1" t="inlineStr">
        <is>
          <t>FundingCost</t>
        </is>
      </c>
      <c r="Y1" s="1" t="inlineStr">
        <is>
          <t>GrossMargin</t>
        </is>
      </c>
      <c r="Z1" s="1" t="inlineStr">
        <is>
          <t>FPEReturn</t>
        </is>
      </c>
      <c r="AA1" s="1" t="inlineStr">
        <is>
          <t>NetMargin</t>
        </is>
      </c>
      <c r="AB1" s="1" t="inlineStr">
        <is>
          <t>RAROC</t>
        </is>
      </c>
      <c r="AC1" s="1" t="inlineStr">
        <is>
          <t>RAROC_bp</t>
        </is>
      </c>
      <c r="AD1" s="1" t="inlineStr">
        <is>
          <t>t_end_yr</t>
        </is>
      </c>
      <c r="AE1" s="1" t="inlineStr">
        <is>
          <t>DF</t>
        </is>
      </c>
      <c r="AF1" s="1" t="inlineStr">
        <is>
          <t>Revenue_PV</t>
        </is>
      </c>
      <c r="AG1" s="1" t="inlineStr">
        <is>
          <t>NetMargin_PV</t>
        </is>
      </c>
      <c r="AH1" s="1" t="inlineStr">
        <is>
          <t>Drawn_PV</t>
        </is>
      </c>
    </row>
    <row r="2">
      <c r="A2" t="n">
        <v>1</v>
      </c>
      <c r="B2" t="inlineStr">
        <is>
          <t>2026-06-01</t>
        </is>
      </c>
      <c r="C2" t="inlineStr">
        <is>
          <t>2027-06-01</t>
        </is>
      </c>
      <c r="D2" t="n">
        <v>1</v>
      </c>
      <c r="E2" t="n">
        <v>100000000</v>
      </c>
      <c r="F2" t="n">
        <v>30000000</v>
      </c>
      <c r="G2" t="n">
        <v>10</v>
      </c>
      <c r="H2" t="n">
        <v>1000000</v>
      </c>
      <c r="I2" t="n">
        <v>1920000</v>
      </c>
      <c r="J2" t="n">
        <v>768000</v>
      </c>
      <c r="K2" t="n">
        <v>82500000</v>
      </c>
      <c r="L2" t="n">
        <v>0.0038</v>
      </c>
      <c r="M2" t="n">
        <v>0.00266</v>
      </c>
      <c r="N2" t="n">
        <v>0.7</v>
      </c>
      <c r="O2" t="n">
        <v>0.2192350960732035</v>
      </c>
      <c r="P2" t="n">
        <v>0.1796026052636633</v>
      </c>
      <c r="Q2" t="n">
        <v>-1.383436078307844</v>
      </c>
      <c r="R2" t="n">
        <v>0.1786967081304187</v>
      </c>
      <c r="S2" t="n">
        <v>0.75</v>
      </c>
      <c r="T2" t="n">
        <v>0.033</v>
      </c>
      <c r="U2" t="n">
        <v>0.1786967081304187</v>
      </c>
      <c r="V2" t="n">
        <v>14742478.42075955</v>
      </c>
      <c r="W2" t="n">
        <v>219450</v>
      </c>
      <c r="X2" t="n">
        <v>0</v>
      </c>
      <c r="Y2" t="n">
        <v>1152000</v>
      </c>
      <c r="Z2" t="n">
        <v>479130.5486746852</v>
      </c>
      <c r="AA2" t="n">
        <v>1411680.548674685</v>
      </c>
      <c r="AB2" t="n">
        <v>0.07181698906305509</v>
      </c>
      <c r="AC2" t="n">
        <v>718.1698906305509</v>
      </c>
      <c r="AD2" t="n">
        <v>1</v>
      </c>
      <c r="AE2" t="n">
        <v>0.9685230024213075</v>
      </c>
      <c r="AF2" t="n">
        <v>1859564.164648911</v>
      </c>
      <c r="AG2" t="n">
        <v>1367245.083462165</v>
      </c>
      <c r="AH2" t="n">
        <v>29055690.07263923</v>
      </c>
    </row>
    <row r="3">
      <c r="A3" t="n">
        <v>2</v>
      </c>
      <c r="B3" t="inlineStr">
        <is>
          <t>2027-06-01</t>
        </is>
      </c>
      <c r="C3" t="inlineStr">
        <is>
          <t>2028-06-01</t>
        </is>
      </c>
      <c r="D3" t="n">
        <v>1</v>
      </c>
      <c r="E3" t="n">
        <v>100000000</v>
      </c>
      <c r="F3" t="n">
        <v>70000000</v>
      </c>
      <c r="G3" t="n">
        <v>9</v>
      </c>
      <c r="H3" t="n">
        <v>0</v>
      </c>
      <c r="I3" t="n">
        <v>1680000</v>
      </c>
      <c r="J3" t="n">
        <v>672000</v>
      </c>
      <c r="K3" t="n">
        <v>92500000</v>
      </c>
      <c r="L3" t="n">
        <v>0.0038</v>
      </c>
      <c r="M3" t="n">
        <v>0.00266</v>
      </c>
      <c r="N3" t="n">
        <v>0.7</v>
      </c>
      <c r="O3" t="n">
        <v>0.2192350960732035</v>
      </c>
      <c r="P3" t="n">
        <v>0.1796026052636633</v>
      </c>
      <c r="Q3" t="n">
        <v>-1.383436078307844</v>
      </c>
      <c r="R3" t="n">
        <v>0.1650221759024472</v>
      </c>
      <c r="S3" t="n">
        <v>0.75</v>
      </c>
      <c r="T3" t="n">
        <v>0.033</v>
      </c>
      <c r="U3" t="n">
        <v>0.1650221759024472</v>
      </c>
      <c r="V3" t="n">
        <v>15264551.27097637</v>
      </c>
      <c r="W3" t="n">
        <v>246050</v>
      </c>
      <c r="X3" t="n">
        <v>0</v>
      </c>
      <c r="Y3" t="n">
        <v>1008000</v>
      </c>
      <c r="Z3" t="n">
        <v>496097.916306732</v>
      </c>
      <c r="AA3" t="n">
        <v>1258047.916306732</v>
      </c>
      <c r="AB3" t="n">
        <v>0.06181222890083014</v>
      </c>
      <c r="AC3" t="n">
        <v>618.1222890083014</v>
      </c>
      <c r="AD3" t="n">
        <v>2</v>
      </c>
      <c r="AE3" t="n">
        <v>0.9380368062191841</v>
      </c>
      <c r="AF3" t="n">
        <v>1575901.834448229</v>
      </c>
      <c r="AG3" t="n">
        <v>1180095.249483066</v>
      </c>
      <c r="AH3" t="n">
        <v>65662576.43534289</v>
      </c>
    </row>
    <row r="4">
      <c r="A4" t="n">
        <v>3</v>
      </c>
      <c r="B4" t="inlineStr">
        <is>
          <t>2028-06-01</t>
        </is>
      </c>
      <c r="C4" t="inlineStr">
        <is>
          <t>2029-06-01</t>
        </is>
      </c>
      <c r="D4" t="n">
        <v>1</v>
      </c>
      <c r="E4" t="n">
        <v>100000000</v>
      </c>
      <c r="F4" t="n">
        <v>100000000</v>
      </c>
      <c r="G4" t="n">
        <v>8</v>
      </c>
      <c r="H4" t="n">
        <v>0</v>
      </c>
      <c r="I4" t="n">
        <v>2250000</v>
      </c>
      <c r="J4" t="n">
        <v>900000</v>
      </c>
      <c r="K4" t="n">
        <v>100000000</v>
      </c>
      <c r="L4" t="n">
        <v>0.0038</v>
      </c>
      <c r="M4" t="n">
        <v>0.00266</v>
      </c>
      <c r="N4" t="n">
        <v>0.7</v>
      </c>
      <c r="O4" t="n">
        <v>0.2192350960732035</v>
      </c>
      <c r="P4" t="n">
        <v>0.1796026052636633</v>
      </c>
      <c r="Q4" t="n">
        <v>-1.383436078307844</v>
      </c>
      <c r="R4" t="n">
        <v>0.1513476436744757</v>
      </c>
      <c r="S4" t="n">
        <v>0.75</v>
      </c>
      <c r="T4" t="n">
        <v>0.033</v>
      </c>
      <c r="U4" t="n">
        <v>0.1513476436744757</v>
      </c>
      <c r="V4" t="n">
        <v>15134764.36744757</v>
      </c>
      <c r="W4" t="n">
        <v>266000</v>
      </c>
      <c r="X4" t="n">
        <v>0</v>
      </c>
      <c r="Y4" t="n">
        <v>1350000</v>
      </c>
      <c r="Z4" t="n">
        <v>491879.841942046</v>
      </c>
      <c r="AA4" t="n">
        <v>1575879.841942046</v>
      </c>
      <c r="AB4" t="n">
        <v>0.0780923873515092</v>
      </c>
      <c r="AC4" t="n">
        <v>780.9238735150919</v>
      </c>
      <c r="AD4" t="n">
        <v>3</v>
      </c>
      <c r="AE4" t="n">
        <v>0.9085102239410984</v>
      </c>
      <c r="AF4" t="n">
        <v>2044148.003867471</v>
      </c>
      <c r="AG4" t="n">
        <v>1431702.948107031</v>
      </c>
      <c r="AH4" t="n">
        <v>90851022.39410983</v>
      </c>
    </row>
    <row r="5">
      <c r="A5" t="n">
        <v>4</v>
      </c>
      <c r="B5" t="inlineStr">
        <is>
          <t>2029-06-01</t>
        </is>
      </c>
      <c r="C5" t="inlineStr">
        <is>
          <t>2030-06-01</t>
        </is>
      </c>
      <c r="D5" t="n">
        <v>1</v>
      </c>
      <c r="E5" t="n">
        <v>100000000</v>
      </c>
      <c r="F5" t="n">
        <v>100000000</v>
      </c>
      <c r="G5" t="n">
        <v>7</v>
      </c>
      <c r="H5" t="n">
        <v>0</v>
      </c>
      <c r="I5" t="n">
        <v>2250000</v>
      </c>
      <c r="J5" t="n">
        <v>900000</v>
      </c>
      <c r="K5" t="n">
        <v>100000000</v>
      </c>
      <c r="L5" t="n">
        <v>0.0038</v>
      </c>
      <c r="M5" t="n">
        <v>0.00266</v>
      </c>
      <c r="N5" t="n">
        <v>0.7</v>
      </c>
      <c r="O5" t="n">
        <v>0.2192350960732035</v>
      </c>
      <c r="P5" t="n">
        <v>0.1796026052636633</v>
      </c>
      <c r="Q5" t="n">
        <v>-1.383436078307844</v>
      </c>
      <c r="R5" t="n">
        <v>0.1376731114465041</v>
      </c>
      <c r="S5" t="n">
        <v>0.75</v>
      </c>
      <c r="T5" t="n">
        <v>0.033</v>
      </c>
      <c r="U5" t="n">
        <v>0.1376731114465041</v>
      </c>
      <c r="V5" t="n">
        <v>13767311.14465041</v>
      </c>
      <c r="W5" t="n">
        <v>266000</v>
      </c>
      <c r="X5" t="n">
        <v>0</v>
      </c>
      <c r="Y5" t="n">
        <v>1350000</v>
      </c>
      <c r="Z5" t="n">
        <v>447437.6122011385</v>
      </c>
      <c r="AA5" t="n">
        <v>1531437.612201138</v>
      </c>
      <c r="AB5" t="n">
        <v>0.08342792554646075</v>
      </c>
      <c r="AC5" t="n">
        <v>834.2792554646076</v>
      </c>
      <c r="AD5" t="n">
        <v>4</v>
      </c>
      <c r="AE5" t="n">
        <v>0.8799130498218871</v>
      </c>
      <c r="AF5" t="n">
        <v>1979804.362099246</v>
      </c>
      <c r="AG5" t="n">
        <v>1347531.939963852</v>
      </c>
      <c r="AH5" t="n">
        <v>87991304.98218872</v>
      </c>
    </row>
    <row r="6">
      <c r="A6" t="n">
        <v>5</v>
      </c>
      <c r="B6" t="inlineStr">
        <is>
          <t>2030-06-01</t>
        </is>
      </c>
      <c r="C6" t="inlineStr">
        <is>
          <t>2031-06-01</t>
        </is>
      </c>
      <c r="D6" t="n">
        <v>1</v>
      </c>
      <c r="E6" t="n">
        <v>100000000</v>
      </c>
      <c r="F6" t="n">
        <v>100000000</v>
      </c>
      <c r="G6" t="n">
        <v>6</v>
      </c>
      <c r="H6" t="n">
        <v>0</v>
      </c>
      <c r="I6" t="n">
        <v>2250000</v>
      </c>
      <c r="J6" t="n">
        <v>900000</v>
      </c>
      <c r="K6" t="n">
        <v>100000000</v>
      </c>
      <c r="L6" t="n">
        <v>0.0038</v>
      </c>
      <c r="M6" t="n">
        <v>0.00266</v>
      </c>
      <c r="N6" t="n">
        <v>0.7</v>
      </c>
      <c r="O6" t="n">
        <v>0.2192350960732035</v>
      </c>
      <c r="P6" t="n">
        <v>0.1796026052636633</v>
      </c>
      <c r="Q6" t="n">
        <v>-1.383436078307844</v>
      </c>
      <c r="R6" t="n">
        <v>0.1239985792185326</v>
      </c>
      <c r="S6" t="n">
        <v>0.75</v>
      </c>
      <c r="T6" t="n">
        <v>0.033</v>
      </c>
      <c r="U6" t="n">
        <v>0.1239985792185326</v>
      </c>
      <c r="V6" t="n">
        <v>12399857.92185326</v>
      </c>
      <c r="W6" t="n">
        <v>266000</v>
      </c>
      <c r="X6" t="n">
        <v>0</v>
      </c>
      <c r="Y6" t="n">
        <v>1350000</v>
      </c>
      <c r="Z6" t="n">
        <v>402995.382460231</v>
      </c>
      <c r="AA6" t="n">
        <v>1486995.382460231</v>
      </c>
      <c r="AB6" t="n">
        <v>0.08994026737029664</v>
      </c>
      <c r="AC6" t="n">
        <v>899.4026737029665</v>
      </c>
      <c r="AD6" t="n">
        <v>5</v>
      </c>
      <c r="AE6" t="n">
        <v>0.8522160288831836</v>
      </c>
      <c r="AF6" t="n">
        <v>1917486.064987163</v>
      </c>
      <c r="AG6" t="n">
        <v>1267241.299807889</v>
      </c>
      <c r="AH6" t="n">
        <v>85221602.88831836</v>
      </c>
    </row>
    <row r="7">
      <c r="A7" t="n">
        <v>6</v>
      </c>
      <c r="B7" t="inlineStr">
        <is>
          <t>2031-06-01</t>
        </is>
      </c>
      <c r="C7" t="inlineStr">
        <is>
          <t>2032-06-01</t>
        </is>
      </c>
      <c r="D7" t="n">
        <v>1</v>
      </c>
      <c r="E7" t="n">
        <v>100000000</v>
      </c>
      <c r="F7" t="n">
        <v>90000000</v>
      </c>
      <c r="G7" t="n">
        <v>5</v>
      </c>
      <c r="H7" t="n">
        <v>0</v>
      </c>
      <c r="I7" t="n">
        <v>2060000</v>
      </c>
      <c r="J7" t="n">
        <v>824000</v>
      </c>
      <c r="K7" t="n">
        <v>97500000</v>
      </c>
      <c r="L7" t="n">
        <v>0.0038</v>
      </c>
      <c r="M7" t="n">
        <v>0.00266</v>
      </c>
      <c r="N7" t="n">
        <v>0.7</v>
      </c>
      <c r="O7" t="n">
        <v>0.2192350960732035</v>
      </c>
      <c r="P7" t="n">
        <v>0.1796026052636633</v>
      </c>
      <c r="Q7" t="n">
        <v>-1.383436078307844</v>
      </c>
      <c r="R7" t="n">
        <v>0.110324046990561</v>
      </c>
      <c r="S7" t="n">
        <v>0.75</v>
      </c>
      <c r="T7" t="n">
        <v>0.033</v>
      </c>
      <c r="U7" t="n">
        <v>0.110324046990561</v>
      </c>
      <c r="V7" t="n">
        <v>10756594.5815797</v>
      </c>
      <c r="W7" t="n">
        <v>259350</v>
      </c>
      <c r="X7" t="n">
        <v>0</v>
      </c>
      <c r="Y7" t="n">
        <v>1236000</v>
      </c>
      <c r="Z7" t="n">
        <v>349589.3239013403</v>
      </c>
      <c r="AA7" t="n">
        <v>1326239.32390134</v>
      </c>
      <c r="AB7" t="n">
        <v>0.09247159827231563</v>
      </c>
      <c r="AC7" t="n">
        <v>924.7159827231563</v>
      </c>
      <c r="AD7" t="n">
        <v>6</v>
      </c>
      <c r="AE7" t="n">
        <v>0.8253908270055048</v>
      </c>
      <c r="AF7" t="n">
        <v>1700305.10363134</v>
      </c>
      <c r="AG7" t="n">
        <v>1094665.772362149</v>
      </c>
      <c r="AH7" t="n">
        <v>74285174.43049543</v>
      </c>
    </row>
    <row r="8">
      <c r="A8" t="n">
        <v>7</v>
      </c>
      <c r="B8" t="inlineStr">
        <is>
          <t>2032-06-01</t>
        </is>
      </c>
      <c r="C8" t="inlineStr">
        <is>
          <t>2033-06-01</t>
        </is>
      </c>
      <c r="D8" t="n">
        <v>1</v>
      </c>
      <c r="E8" t="n">
        <v>100000000</v>
      </c>
      <c r="F8" t="n">
        <v>70000000</v>
      </c>
      <c r="G8" t="n">
        <v>4</v>
      </c>
      <c r="H8" t="n">
        <v>0</v>
      </c>
      <c r="I8" t="n">
        <v>1680000</v>
      </c>
      <c r="J8" t="n">
        <v>672000</v>
      </c>
      <c r="K8" t="n">
        <v>92500000</v>
      </c>
      <c r="L8" t="n">
        <v>0.0038</v>
      </c>
      <c r="M8" t="n">
        <v>0.00266</v>
      </c>
      <c r="N8" t="n">
        <v>0.7</v>
      </c>
      <c r="O8" t="n">
        <v>0.2192350960732035</v>
      </c>
      <c r="P8" t="n">
        <v>0.1796026052636633</v>
      </c>
      <c r="Q8" t="n">
        <v>-1.383436078307844</v>
      </c>
      <c r="R8" t="n">
        <v>0.0966495147625895</v>
      </c>
      <c r="S8" t="n">
        <v>0.75</v>
      </c>
      <c r="T8" t="n">
        <v>0.033</v>
      </c>
      <c r="U8" t="n">
        <v>0.0966495147625895</v>
      </c>
      <c r="V8" t="n">
        <v>8940080.115539528</v>
      </c>
      <c r="W8" t="n">
        <v>246050</v>
      </c>
      <c r="X8" t="n">
        <v>0</v>
      </c>
      <c r="Y8" t="n">
        <v>1008000</v>
      </c>
      <c r="Z8" t="n">
        <v>290552.6037550347</v>
      </c>
      <c r="AA8" t="n">
        <v>1052502.603755035</v>
      </c>
      <c r="AB8" t="n">
        <v>0.08829640703601654</v>
      </c>
      <c r="AC8" t="n">
        <v>882.9640703601655</v>
      </c>
      <c r="AD8" t="n">
        <v>7</v>
      </c>
      <c r="AE8" t="n">
        <v>0.7994100019423775</v>
      </c>
      <c r="AF8" t="n">
        <v>1343008.803263194</v>
      </c>
      <c r="AG8" t="n">
        <v>841381.1085121698</v>
      </c>
      <c r="AH8" t="n">
        <v>55958700.13596643</v>
      </c>
    </row>
    <row r="9">
      <c r="A9" t="n">
        <v>8</v>
      </c>
      <c r="B9" t="inlineStr">
        <is>
          <t>2033-06-01</t>
        </is>
      </c>
      <c r="C9" t="inlineStr">
        <is>
          <t>2034-06-01</t>
        </is>
      </c>
      <c r="D9" t="n">
        <v>1</v>
      </c>
      <c r="E9" t="n">
        <v>100000000</v>
      </c>
      <c r="F9" t="n">
        <v>50000000</v>
      </c>
      <c r="G9" t="n">
        <v>3</v>
      </c>
      <c r="H9" t="n">
        <v>0</v>
      </c>
      <c r="I9" t="n">
        <v>1300000</v>
      </c>
      <c r="J9" t="n">
        <v>520000</v>
      </c>
      <c r="K9" t="n">
        <v>87500000</v>
      </c>
      <c r="L9" t="n">
        <v>0.0038</v>
      </c>
      <c r="M9" t="n">
        <v>0.00266</v>
      </c>
      <c r="N9" t="n">
        <v>0.7</v>
      </c>
      <c r="O9" t="n">
        <v>0.2192350960732035</v>
      </c>
      <c r="P9" t="n">
        <v>0.1796026052636633</v>
      </c>
      <c r="Q9" t="n">
        <v>-1.383436078307844</v>
      </c>
      <c r="R9" t="n">
        <v>0.08297498253461796</v>
      </c>
      <c r="S9" t="n">
        <v>0.75</v>
      </c>
      <c r="T9" t="n">
        <v>0.033</v>
      </c>
      <c r="U9" t="n">
        <v>0.08297498253461796</v>
      </c>
      <c r="V9" t="n">
        <v>7260310.971779072</v>
      </c>
      <c r="W9" t="n">
        <v>232750</v>
      </c>
      <c r="X9" t="n">
        <v>0</v>
      </c>
      <c r="Y9" t="n">
        <v>780000</v>
      </c>
      <c r="Z9" t="n">
        <v>235960.1065828198</v>
      </c>
      <c r="AA9" t="n">
        <v>783210.1065828198</v>
      </c>
      <c r="AB9" t="n">
        <v>0.08090666945539608</v>
      </c>
      <c r="AC9" t="n">
        <v>809.0666945539608</v>
      </c>
      <c r="AD9" t="n">
        <v>8</v>
      </c>
      <c r="AE9" t="n">
        <v>0.7742469752468547</v>
      </c>
      <c r="AF9" t="n">
        <v>1006521.067820911</v>
      </c>
      <c r="AG9" t="n">
        <v>606398.0560045149</v>
      </c>
      <c r="AH9" t="n">
        <v>38712348.76234274</v>
      </c>
    </row>
    <row r="10">
      <c r="A10" t="n">
        <v>9</v>
      </c>
      <c r="B10" t="inlineStr">
        <is>
          <t>2034-06-01</t>
        </is>
      </c>
      <c r="C10" t="inlineStr">
        <is>
          <t>2035-06-01</t>
        </is>
      </c>
      <c r="D10" t="n">
        <v>1</v>
      </c>
      <c r="E10" t="n">
        <v>100000000</v>
      </c>
      <c r="F10" t="n">
        <v>30000000</v>
      </c>
      <c r="G10" t="n">
        <v>2</v>
      </c>
      <c r="H10" t="n">
        <v>0</v>
      </c>
      <c r="I10" t="n">
        <v>920000</v>
      </c>
      <c r="J10" t="n">
        <v>368000</v>
      </c>
      <c r="K10" t="n">
        <v>82500000</v>
      </c>
      <c r="L10" t="n">
        <v>0.0038</v>
      </c>
      <c r="M10" t="n">
        <v>0.00266</v>
      </c>
      <c r="N10" t="n">
        <v>0.7</v>
      </c>
      <c r="O10" t="n">
        <v>0.2192350960732035</v>
      </c>
      <c r="P10" t="n">
        <v>0.1796026052636633</v>
      </c>
      <c r="Q10" t="n">
        <v>-1.383436078307844</v>
      </c>
      <c r="R10" t="n">
        <v>0.06930045030664643</v>
      </c>
      <c r="S10" t="n">
        <v>0.75</v>
      </c>
      <c r="T10" t="n">
        <v>0.033</v>
      </c>
      <c r="U10" t="n">
        <v>0.06930045030664643</v>
      </c>
      <c r="V10" t="n">
        <v>5717287.150298331</v>
      </c>
      <c r="W10" t="n">
        <v>219450</v>
      </c>
      <c r="X10" t="n">
        <v>0</v>
      </c>
      <c r="Y10" t="n">
        <v>552000</v>
      </c>
      <c r="Z10" t="n">
        <v>185811.8323846958</v>
      </c>
      <c r="AA10" t="n">
        <v>518361.8323846958</v>
      </c>
      <c r="AB10" t="n">
        <v>0.06799927379338215</v>
      </c>
      <c r="AC10" t="n">
        <v>679.9927379338216</v>
      </c>
      <c r="AD10" t="n">
        <v>9</v>
      </c>
      <c r="AE10" t="n">
        <v>0.7498760050816995</v>
      </c>
      <c r="AF10" t="n">
        <v>689885.9246751636</v>
      </c>
      <c r="AG10" t="n">
        <v>388707.1000554652</v>
      </c>
      <c r="AH10" t="n">
        <v>22496280.15245099</v>
      </c>
    </row>
    <row r="11">
      <c r="A11" t="n">
        <v>10</v>
      </c>
      <c r="B11" t="inlineStr">
        <is>
          <t>2035-06-01</t>
        </is>
      </c>
      <c r="C11" t="inlineStr">
        <is>
          <t>2036-06-01</t>
        </is>
      </c>
      <c r="D11" t="n">
        <v>1</v>
      </c>
      <c r="E11" t="n">
        <v>100000000</v>
      </c>
      <c r="F11" t="n">
        <v>20000000</v>
      </c>
      <c r="G11" t="n">
        <v>1</v>
      </c>
      <c r="H11" t="n">
        <v>0</v>
      </c>
      <c r="I11" t="n">
        <v>730000</v>
      </c>
      <c r="J11" t="n">
        <v>292000</v>
      </c>
      <c r="K11" t="n">
        <v>80000000</v>
      </c>
      <c r="L11" t="n">
        <v>0.0038</v>
      </c>
      <c r="M11" t="n">
        <v>0.00266</v>
      </c>
      <c r="N11" t="n">
        <v>0.7</v>
      </c>
      <c r="O11" t="n">
        <v>0.2192350960732035</v>
      </c>
      <c r="P11" t="n">
        <v>0.1796026052636633</v>
      </c>
      <c r="Q11" t="n">
        <v>-1.383436078307844</v>
      </c>
      <c r="R11" t="n">
        <v>0.05562591807867489</v>
      </c>
      <c r="S11" t="n">
        <v>0.75</v>
      </c>
      <c r="T11" t="n">
        <v>0.033</v>
      </c>
      <c r="U11" t="n">
        <v>0.05562591807867489</v>
      </c>
      <c r="V11" t="n">
        <v>4450073.446293991</v>
      </c>
      <c r="W11" t="n">
        <v>212800</v>
      </c>
      <c r="X11" t="n">
        <v>0</v>
      </c>
      <c r="Y11" t="n">
        <v>438000</v>
      </c>
      <c r="Z11" t="n">
        <v>144627.3870045547</v>
      </c>
      <c r="AA11" t="n">
        <v>369827.3870045547</v>
      </c>
      <c r="AB11" t="n">
        <v>0.06232942975006614</v>
      </c>
      <c r="AC11" t="n">
        <v>623.2942975006614</v>
      </c>
      <c r="AD11" t="n">
        <v>10</v>
      </c>
      <c r="AE11" t="n">
        <v>0.7262721598854233</v>
      </c>
      <c r="AF11" t="n">
        <v>530178.676716359</v>
      </c>
      <c r="AG11" t="n">
        <v>268595.3351445803</v>
      </c>
      <c r="AH11" t="n">
        <v>14525443.19770847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</t>
        </is>
      </c>
    </row>
    <row r="2">
      <c r="A2" t="inlineStr">
        <is>
          <t>NPV borrower cost</t>
        </is>
      </c>
      <c r="B2" t="n">
        <v>14646804.00615799</v>
      </c>
      <c r="C2" t="inlineStr">
        <is>
          <t>Σ revenue_i × DF_i</t>
        </is>
      </c>
    </row>
    <row r="3">
      <c r="A3" t="inlineStr">
        <is>
          <t>NPV bank net margin</t>
        </is>
      </c>
      <c r="B3" t="n">
        <v>9793563.892902881</v>
      </c>
      <c r="C3" t="inlineStr">
        <is>
          <t>Σ net_margin_i × DF_i</t>
        </is>
      </c>
    </row>
    <row r="4">
      <c r="A4" t="inlineStr">
        <is>
          <t>NPV drawn balance</t>
        </is>
      </c>
      <c r="B4" t="n">
        <v>564760143.4515631</v>
      </c>
      <c r="C4" t="inlineStr">
        <is>
          <t>Σ avg_drawn_i × dt_i × DF_i</t>
        </is>
      </c>
    </row>
    <row r="5">
      <c r="A5" t="inlineStr">
        <is>
          <t>Effective spread (decimal)</t>
        </is>
      </c>
      <c r="B5" t="n">
        <v>0.02593455677775565</v>
      </c>
      <c r="C5" t="inlineStr">
        <is>
          <t>NPV_borrower_cost / NPV_drawn_balance</t>
        </is>
      </c>
    </row>
    <row r="6">
      <c r="A6" t="inlineStr">
        <is>
          <t>Effective spread (bp)</t>
        </is>
      </c>
      <c r="B6" t="n">
        <v>259.3455677775565</v>
      </c>
      <c r="C6" t="inlineStr">
        <is>
          <t>× 10,000</t>
        </is>
      </c>
    </row>
    <row r="7">
      <c r="A7" t="inlineStr">
        <is>
          <t>FPE-weighted RAROC</t>
        </is>
      </c>
      <c r="B7" t="n">
        <v>0.07825673645906776</v>
      </c>
      <c r="C7" t="inlineStr">
        <is>
          <t>Σ raroc_i × FPE_i × dt_i / Σ FPE_i × dt_i</t>
        </is>
      </c>
    </row>
    <row r="8">
      <c r="A8" t="inlineStr">
        <is>
          <t>Total revenue (undisc)</t>
        </is>
      </c>
      <c r="B8" t="n">
        <v>17040000</v>
      </c>
      <c r="C8" t="inlineStr">
        <is>
          <t>Σ revenue_i</t>
        </is>
      </c>
    </row>
    <row r="9">
      <c r="A9" t="inlineStr">
        <is>
          <t>Total EL (undisc)</t>
        </is>
      </c>
      <c r="B9" t="n">
        <v>2433900</v>
      </c>
      <c r="C9" t="inlineStr">
        <is>
          <t>Σ EL_i</t>
        </is>
      </c>
    </row>
    <row r="10">
      <c r="A10" t="inlineStr">
        <is>
          <t>Avg exposure (dt-weighted)</t>
        </is>
      </c>
      <c r="B10" t="n">
        <v>91500000</v>
      </c>
      <c r="C10" t="inlineStr">
        <is>
          <t>Σ exposure_i × dt_i / Σ dt_i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2026-05-14T20:05:58Z</dcterms:created>
  <dcterms:modified xmlns:dcterms="http://purl.org/dc/terms/" xmlns:xsi="http://www.w3.org/2001/XMLSchema-instance" xsi:type="dcterms:W3CDTF">2026-05-14T20:05:58Z</dcterms:modified>
</cp:coreProperties>
</file>