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eriods" sheetId="2" state="visible" r:id="rId2"/>
    <sheet xmlns:r="http://schemas.openxmlformats.org/officeDocument/2006/relationships" name="Aggreg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Fixture ID</t>
        </is>
      </c>
      <c r="B1" t="inlineStr">
        <is>
          <t>period_rcf_5y</t>
        </is>
      </c>
    </row>
    <row r="2">
      <c r="A2" t="inlineStr">
        <is>
          <t>Description</t>
        </is>
      </c>
      <c r="B2" t="inlineStr">
        <is>
          <t>Confirmed 5y RCF, 50M commitment, cleandown to 20M drawn after year 3. Investment-grade mid-cap borrower (Baa2), unsecured. 150bp spread, 25bp commit fee on undrawn, 200k upfront fee in year 1.</t>
        </is>
      </c>
    </row>
    <row r="3">
      <c r="A3" t="inlineStr">
        <is>
          <t>Currency</t>
        </is>
      </c>
      <c r="B3" t="inlineStr">
        <is>
          <t>EUR</t>
        </is>
      </c>
    </row>
    <row r="4">
      <c r="A4" t="inlineStr">
        <is>
          <t>Product type</t>
        </is>
      </c>
      <c r="B4" t="inlineStr">
        <is>
          <t>mlt_credit</t>
        </is>
      </c>
    </row>
    <row r="5">
      <c r="A5" t="inlineStr"/>
      <c r="B5" t="inlineStr"/>
    </row>
    <row r="6">
      <c r="A6" s="1" t="inlineStr">
        <is>
          <t>─ Engine config ─</t>
        </is>
      </c>
      <c r="B6" t="inlineStr"/>
    </row>
    <row r="7">
      <c r="A7" t="inlineStr">
        <is>
          <t>Regime</t>
        </is>
      </c>
      <c r="B7" t="inlineStr">
        <is>
          <t>basel3</t>
        </is>
      </c>
    </row>
    <row r="8">
      <c r="A8" t="inlineStr">
        <is>
          <t>Risk-free rate</t>
        </is>
      </c>
      <c r="B8" t="n">
        <v>0.0325</v>
      </c>
    </row>
    <row r="9">
      <c r="A9" t="inlineStr">
        <is>
          <t>Bank tax rate</t>
        </is>
      </c>
      <c r="B9" t="n">
        <v>0.25</v>
      </c>
    </row>
    <row r="10">
      <c r="A10" t="inlineStr">
        <is>
          <t>Funding cost (decimal)</t>
        </is>
      </c>
      <c r="B10" t="n">
        <v>0</v>
      </c>
    </row>
    <row r="11">
      <c r="A11" t="inlineStr">
        <is>
          <t>Cost-income ratio</t>
        </is>
      </c>
      <c r="B11" t="n">
        <v>0.4</v>
      </c>
    </row>
    <row r="12">
      <c r="A12" t="inlineStr">
        <is>
          <t>Output floor %</t>
        </is>
      </c>
      <c r="B12" t="n">
        <v>0.55</v>
      </c>
    </row>
    <row r="13">
      <c r="A13" t="inlineStr">
        <is>
          <t>PD floor</t>
        </is>
      </c>
      <c r="B13" t="n">
        <v>0.0005</v>
      </c>
    </row>
    <row r="14">
      <c r="A14" t="inlineStr">
        <is>
          <t>LGD floor — unsecured</t>
        </is>
      </c>
      <c r="B14" t="n">
        <v>0.25</v>
      </c>
    </row>
    <row r="15">
      <c r="A15" t="inlineStr">
        <is>
          <t>LGD floor — secured</t>
        </is>
      </c>
      <c r="B15" t="n">
        <v>0.1</v>
      </c>
    </row>
    <row r="16">
      <c r="A16" t="inlineStr">
        <is>
          <t>Default collateral type</t>
        </is>
      </c>
      <c r="B16" t="inlineStr">
        <is>
          <t>receivables</t>
        </is>
      </c>
    </row>
    <row r="17">
      <c r="A17" t="inlineStr"/>
      <c r="B17" t="inlineStr"/>
    </row>
    <row r="18">
      <c r="A18" s="1" t="inlineStr">
        <is>
          <t>─ Deal static ─</t>
        </is>
      </c>
      <c r="B18" t="inlineStr"/>
    </row>
    <row r="19">
      <c r="A19" t="inlineStr">
        <is>
          <t>Rating</t>
        </is>
      </c>
      <c r="B19" t="inlineStr">
        <is>
          <t>Baa2</t>
        </is>
      </c>
    </row>
    <row r="20">
      <c r="A20" t="inlineStr">
        <is>
          <t>PD (Baa2) raw</t>
        </is>
      </c>
      <c r="B20" t="n">
        <v>0.0016</v>
      </c>
    </row>
    <row r="21">
      <c r="A21" t="inlineStr">
        <is>
          <t>Global GRR</t>
        </is>
      </c>
      <c r="B21" t="n">
        <v>0</v>
      </c>
    </row>
    <row r="22">
      <c r="A22" t="inlineStr">
        <is>
          <t>Confirmed</t>
        </is>
      </c>
      <c r="B22" t="b">
        <v>1</v>
      </c>
    </row>
    <row r="23">
      <c r="A23" t="inlineStr">
        <is>
          <t>Spread</t>
        </is>
      </c>
      <c r="B23" t="n">
        <v>0.015</v>
      </c>
    </row>
    <row r="24">
      <c r="A24" t="inlineStr">
        <is>
          <t>Commitment fee</t>
        </is>
      </c>
      <c r="B24" t="n">
        <v>0.0025</v>
      </c>
    </row>
    <row r="25">
      <c r="A25" t="inlineStr"/>
      <c r="B25" t="inlineStr"/>
    </row>
    <row r="26">
      <c r="A26" s="1" t="inlineStr">
        <is>
          <t>─ Discount ─</t>
        </is>
      </c>
      <c r="B26" t="inlineStr"/>
    </row>
    <row r="27">
      <c r="A27" t="inlineStr">
        <is>
          <t>Kind</t>
        </is>
      </c>
      <c r="B27" t="inlineStr">
        <is>
          <t>scalar</t>
        </is>
      </c>
    </row>
    <row r="28">
      <c r="A28" t="inlineStr">
        <is>
          <t>Rate</t>
        </is>
      </c>
      <c r="B28" t="n">
        <v>0.0325</v>
      </c>
    </row>
    <row r="29">
      <c r="A29" t="inlineStr">
        <is>
          <t>Day count</t>
        </is>
      </c>
      <c r="B29" t="inlineStr">
        <is>
          <t>Act/365F</t>
        </is>
      </c>
    </row>
    <row r="30">
      <c r="A30" t="inlineStr"/>
      <c r="B30" t="inlineStr"/>
    </row>
    <row r="31">
      <c r="A31" s="1" t="inlineStr">
        <is>
          <t>─ Formula notes ─</t>
        </is>
      </c>
      <c r="B31" t="inlineStr"/>
    </row>
    <row r="32">
      <c r="A32" t="inlineStr">
        <is>
          <t>PD (after floor)</t>
        </is>
      </c>
      <c r="B32">
        <f>MAX(PD_raw, PD_floor)</f>
        <v/>
      </c>
    </row>
    <row r="33">
      <c r="A33" t="inlineStr">
        <is>
          <t>LGD</t>
        </is>
      </c>
      <c r="B33">
        <f>MAX(1-GRR, LGD_floor)  (floor depends on collateral type)</f>
        <v/>
      </c>
    </row>
    <row r="34">
      <c r="A34" t="inlineStr">
        <is>
          <t>Exposure (confirmed MLT)</t>
        </is>
      </c>
      <c r="B34">
        <f>0.25*avg_drawn + 0.75*commitment</f>
        <v/>
      </c>
    </row>
    <row r="35">
      <c r="A35" t="inlineStr">
        <is>
          <t>R</t>
        </is>
      </c>
      <c r="B35">
        <f>0.12 * (1 + EXP(-50*PD) - 2*EXP(-50)) / (1 - EXP(-50))</f>
        <v/>
      </c>
    </row>
    <row r="36">
      <c r="A36" t="inlineStr">
        <is>
          <t>b</t>
        </is>
      </c>
      <c r="B36">
        <f>(0.11852 - 0.05478*LN(PD))^2</f>
        <v/>
      </c>
    </row>
    <row r="37">
      <c r="A37" t="inlineStr">
        <is>
          <t>z</t>
        </is>
      </c>
      <c r="B37">
        <f>SQRT(1/(1-R))*NORM.S.INV(PD) + SQRT(R/(1-R))*NORM.S.INV(0.999)</f>
        <v/>
      </c>
    </row>
    <row r="38">
      <c r="A38" t="inlineStr">
        <is>
          <t>K_irb</t>
        </is>
      </c>
      <c r="B38">
        <f>LGD * (NORM.S.DIST(z, TRUE) - PD) * (1 + (M-2.5)*b) / (1 - 1.5*b)</f>
        <v/>
      </c>
    </row>
    <row r="39">
      <c r="A39" t="inlineStr">
        <is>
          <t>SA_RW</t>
        </is>
      </c>
      <c r="B39" t="inlineStr">
        <is>
          <t>stepwise: 0.20|0.50|0.75|1.00|1.50 by PD bucket</t>
        </is>
      </c>
    </row>
    <row r="40">
      <c r="A40" t="inlineStr">
        <is>
          <t>K_floor</t>
        </is>
      </c>
      <c r="B40">
        <f>output_floor_pct * SA_RW / 12.5</f>
        <v/>
      </c>
    </row>
    <row r="41">
      <c r="A41" t="inlineStr">
        <is>
          <t>K</t>
        </is>
      </c>
      <c r="B41">
        <f>MAX(K_irb, K_floor)</f>
        <v/>
      </c>
    </row>
    <row r="42">
      <c r="A42" t="inlineStr">
        <is>
          <t>FPE</t>
        </is>
      </c>
      <c r="B42">
        <f>exposure * K</f>
        <v/>
      </c>
    </row>
    <row r="43">
      <c r="A43" t="inlineStr">
        <is>
          <t>EL</t>
        </is>
      </c>
      <c r="B43">
        <f>exposure * PD * (1-GRR) * dt_years</f>
        <v/>
      </c>
    </row>
    <row r="44">
      <c r="A44" t="inlineStr">
        <is>
          <t>Revenue</t>
        </is>
      </c>
      <c r="B44">
        <f>spread*avg_drawn*dt + commit_fee*(commitment-avg_drawn)*dt + period_fees</f>
        <v/>
      </c>
    </row>
    <row r="45">
      <c r="A45" t="inlineStr">
        <is>
          <t>Cost</t>
        </is>
      </c>
      <c r="B45">
        <f>revenue * cost_income_ratio</f>
        <v/>
      </c>
    </row>
    <row r="46">
      <c r="A46" t="inlineStr">
        <is>
          <t>Gross margin</t>
        </is>
      </c>
      <c r="B46">
        <f>revenue - cost - funding_cost</f>
        <v/>
      </c>
    </row>
    <row r="47">
      <c r="A47" t="inlineStr">
        <is>
          <t>FPE return</t>
        </is>
      </c>
      <c r="B47">
        <f>risk_free_rate * FPE * dt_years</f>
        <v/>
      </c>
    </row>
    <row r="48">
      <c r="A48" t="inlineStr">
        <is>
          <t>Net margin</t>
        </is>
      </c>
      <c r="B48">
        <f>gross_margin - EL + fpe_return</f>
        <v/>
      </c>
    </row>
    <row r="49">
      <c r="A49" t="inlineStr">
        <is>
          <t>RAROC</t>
        </is>
      </c>
      <c r="B49">
        <f>(1-tax) * ((revenue-cost-funding_cost-EL)/FPE + risk_free_rate)</f>
        <v/>
      </c>
    </row>
    <row r="50">
      <c r="A50" t="inlineStr">
        <is>
          <t>DF (end of period)</t>
        </is>
      </c>
      <c r="B50">
        <f>(1 + disc_rate) ^ (-t_end_years)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Period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dt_yr</t>
        </is>
      </c>
      <c r="E1" s="1" t="inlineStr">
        <is>
          <t>Commitment</t>
        </is>
      </c>
      <c r="F1" s="1" t="inlineStr">
        <is>
          <t>AvgDrawn</t>
        </is>
      </c>
      <c r="G1" s="1" t="inlineStr">
        <is>
          <t>M_remain_yr</t>
        </is>
      </c>
      <c r="H1" s="1" t="inlineStr">
        <is>
          <t>Upfront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Exposure</t>
        </is>
      </c>
      <c r="L1" s="1" t="inlineStr">
        <is>
          <t>PD</t>
        </is>
      </c>
      <c r="M1" s="1" t="inlineStr">
        <is>
          <t>PD_basel2</t>
        </is>
      </c>
      <c r="N1" s="1" t="inlineStr">
        <is>
          <t>LGD</t>
        </is>
      </c>
      <c r="O1" s="1" t="inlineStr">
        <is>
          <t>R</t>
        </is>
      </c>
      <c r="P1" s="1" t="inlineStr">
        <is>
          <t>b</t>
        </is>
      </c>
      <c r="Q1" s="1" t="inlineStr">
        <is>
          <t>z</t>
        </is>
      </c>
      <c r="R1" s="1" t="inlineStr">
        <is>
          <t>K_irb</t>
        </is>
      </c>
      <c r="S1" s="1" t="inlineStr">
        <is>
          <t>SA_RW</t>
        </is>
      </c>
      <c r="T1" s="1" t="inlineStr">
        <is>
          <t>K_floor</t>
        </is>
      </c>
      <c r="U1" s="1" t="inlineStr">
        <is>
          <t>K</t>
        </is>
      </c>
      <c r="V1" s="1" t="inlineStr">
        <is>
          <t>FPE</t>
        </is>
      </c>
      <c r="W1" s="1" t="inlineStr">
        <is>
          <t>EL</t>
        </is>
      </c>
      <c r="X1" s="1" t="inlineStr">
        <is>
          <t>FundingCost</t>
        </is>
      </c>
      <c r="Y1" s="1" t="inlineStr">
        <is>
          <t>GrossMargin</t>
        </is>
      </c>
      <c r="Z1" s="1" t="inlineStr">
        <is>
          <t>FPEReturn</t>
        </is>
      </c>
      <c r="AA1" s="1" t="inlineStr">
        <is>
          <t>NetMargin</t>
        </is>
      </c>
      <c r="AB1" s="1" t="inlineStr">
        <is>
          <t>RAROC</t>
        </is>
      </c>
      <c r="AC1" s="1" t="inlineStr">
        <is>
          <t>RAROC_bp</t>
        </is>
      </c>
      <c r="AD1" s="1" t="inlineStr">
        <is>
          <t>t_end_yr</t>
        </is>
      </c>
      <c r="AE1" s="1" t="inlineStr">
        <is>
          <t>DF</t>
        </is>
      </c>
      <c r="AF1" s="1" t="inlineStr">
        <is>
          <t>Revenue_PV</t>
        </is>
      </c>
      <c r="AG1" s="1" t="inlineStr">
        <is>
          <t>NetMargin_PV</t>
        </is>
      </c>
      <c r="AH1" s="1" t="inlineStr">
        <is>
          <t>Drawn_PV</t>
        </is>
      </c>
    </row>
    <row r="2">
      <c r="A2" t="n">
        <v>1</v>
      </c>
      <c r="B2" t="inlineStr">
        <is>
          <t>2026-06-01</t>
        </is>
      </c>
      <c r="C2" t="inlineStr">
        <is>
          <t>2027-06-01</t>
        </is>
      </c>
      <c r="D2" t="n">
        <v>1</v>
      </c>
      <c r="E2" t="n">
        <v>50000000</v>
      </c>
      <c r="F2" t="n">
        <v>35000000</v>
      </c>
      <c r="G2" t="n">
        <v>5</v>
      </c>
      <c r="H2" t="n">
        <v>200000</v>
      </c>
      <c r="I2" t="n">
        <v>762500</v>
      </c>
      <c r="J2" t="n">
        <v>305000</v>
      </c>
      <c r="K2" t="n">
        <v>46250000</v>
      </c>
      <c r="L2" t="n">
        <v>0.0016</v>
      </c>
      <c r="M2" t="n">
        <v>0.0016</v>
      </c>
      <c r="N2" t="n">
        <v>1</v>
      </c>
      <c r="O2" t="n">
        <v>0.2307739615663963</v>
      </c>
      <c r="P2" t="n">
        <v>0.222010625733687</v>
      </c>
      <c r="Q2" t="n">
        <v>-1.668455474521763</v>
      </c>
      <c r="R2" t="n">
        <v>0.1072753176621487</v>
      </c>
      <c r="S2" t="n">
        <v>0.75</v>
      </c>
      <c r="T2" t="n">
        <v>0.033</v>
      </c>
      <c r="U2" t="n">
        <v>0.1072753176621487</v>
      </c>
      <c r="V2" t="n">
        <v>4961483.441874378</v>
      </c>
      <c r="W2" t="n">
        <v>74000</v>
      </c>
      <c r="X2" t="n">
        <v>0</v>
      </c>
      <c r="Y2" t="n">
        <v>457500</v>
      </c>
      <c r="Z2" t="n">
        <v>161248.2118609173</v>
      </c>
      <c r="AA2" t="n">
        <v>544748.2118609173</v>
      </c>
      <c r="AB2" t="n">
        <v>0.08234657309293354</v>
      </c>
      <c r="AC2" t="n">
        <v>823.4657309293355</v>
      </c>
      <c r="AD2" t="n">
        <v>1</v>
      </c>
      <c r="AE2" t="n">
        <v>0.9685230024213075</v>
      </c>
      <c r="AF2" t="n">
        <v>738498.789346247</v>
      </c>
      <c r="AG2" t="n">
        <v>527601.1737151741</v>
      </c>
      <c r="AH2" t="n">
        <v>33898305.08474576</v>
      </c>
    </row>
    <row r="3">
      <c r="A3" t="n">
        <v>2</v>
      </c>
      <c r="B3" t="inlineStr">
        <is>
          <t>2027-06-01</t>
        </is>
      </c>
      <c r="C3" t="inlineStr">
        <is>
          <t>2028-06-01</t>
        </is>
      </c>
      <c r="D3" t="n">
        <v>1</v>
      </c>
      <c r="E3" t="n">
        <v>50000000</v>
      </c>
      <c r="F3" t="n">
        <v>35000000</v>
      </c>
      <c r="G3" t="n">
        <v>4</v>
      </c>
      <c r="H3" t="n">
        <v>0</v>
      </c>
      <c r="I3" t="n">
        <v>562500</v>
      </c>
      <c r="J3" t="n">
        <v>225000</v>
      </c>
      <c r="K3" t="n">
        <v>46250000</v>
      </c>
      <c r="L3" t="n">
        <v>0.0016</v>
      </c>
      <c r="M3" t="n">
        <v>0.0016</v>
      </c>
      <c r="N3" t="n">
        <v>1</v>
      </c>
      <c r="O3" t="n">
        <v>0.2307739615663963</v>
      </c>
      <c r="P3" t="n">
        <v>0.222010625733687</v>
      </c>
      <c r="Q3" t="n">
        <v>-1.668455474521763</v>
      </c>
      <c r="R3" t="n">
        <v>0.0919596562154579</v>
      </c>
      <c r="S3" t="n">
        <v>0.75</v>
      </c>
      <c r="T3" t="n">
        <v>0.033</v>
      </c>
      <c r="U3" t="n">
        <v>0.0919596562154579</v>
      </c>
      <c r="V3" t="n">
        <v>4253134.099964928</v>
      </c>
      <c r="W3" t="n">
        <v>74000</v>
      </c>
      <c r="X3" t="n">
        <v>0</v>
      </c>
      <c r="Y3" t="n">
        <v>337500</v>
      </c>
      <c r="Z3" t="n">
        <v>138226.8582488602</v>
      </c>
      <c r="AA3" t="n">
        <v>401726.8582488602</v>
      </c>
      <c r="AB3" t="n">
        <v>0.07084073452777556</v>
      </c>
      <c r="AC3" t="n">
        <v>708.4073452777557</v>
      </c>
      <c r="AD3" t="n">
        <v>2</v>
      </c>
      <c r="AE3" t="n">
        <v>0.9380368062191841</v>
      </c>
      <c r="AF3" t="n">
        <v>527645.7034982911</v>
      </c>
      <c r="AG3" t="n">
        <v>376834.5790842277</v>
      </c>
      <c r="AH3" t="n">
        <v>32831288.21767144</v>
      </c>
    </row>
    <row r="4">
      <c r="A4" t="n">
        <v>3</v>
      </c>
      <c r="B4" t="inlineStr">
        <is>
          <t>2028-06-01</t>
        </is>
      </c>
      <c r="C4" t="inlineStr">
        <is>
          <t>2029-06-01</t>
        </is>
      </c>
      <c r="D4" t="n">
        <v>1</v>
      </c>
      <c r="E4" t="n">
        <v>50000000</v>
      </c>
      <c r="F4" t="n">
        <v>35000000</v>
      </c>
      <c r="G4" t="n">
        <v>3</v>
      </c>
      <c r="H4" t="n">
        <v>0</v>
      </c>
      <c r="I4" t="n">
        <v>562500</v>
      </c>
      <c r="J4" t="n">
        <v>225000</v>
      </c>
      <c r="K4" t="n">
        <v>46250000</v>
      </c>
      <c r="L4" t="n">
        <v>0.0016</v>
      </c>
      <c r="M4" t="n">
        <v>0.0016</v>
      </c>
      <c r="N4" t="n">
        <v>1</v>
      </c>
      <c r="O4" t="n">
        <v>0.2307739615663963</v>
      </c>
      <c r="P4" t="n">
        <v>0.222010625733687</v>
      </c>
      <c r="Q4" t="n">
        <v>-1.668455474521763</v>
      </c>
      <c r="R4" t="n">
        <v>0.07664399476876707</v>
      </c>
      <c r="S4" t="n">
        <v>0.75</v>
      </c>
      <c r="T4" t="n">
        <v>0.033</v>
      </c>
      <c r="U4" t="n">
        <v>0.07664399476876707</v>
      </c>
      <c r="V4" t="n">
        <v>3544784.758055477</v>
      </c>
      <c r="W4" t="n">
        <v>74000</v>
      </c>
      <c r="X4" t="n">
        <v>0</v>
      </c>
      <c r="Y4" t="n">
        <v>337500</v>
      </c>
      <c r="Z4" t="n">
        <v>115205.504636803</v>
      </c>
      <c r="AA4" t="n">
        <v>378705.504636803</v>
      </c>
      <c r="AB4" t="n">
        <v>0.08012591676607438</v>
      </c>
      <c r="AC4" t="n">
        <v>801.2591676607437</v>
      </c>
      <c r="AD4" t="n">
        <v>3</v>
      </c>
      <c r="AE4" t="n">
        <v>0.9085102239410984</v>
      </c>
      <c r="AF4" t="n">
        <v>511037.0009668678</v>
      </c>
      <c r="AG4" t="n">
        <v>344057.8228253085</v>
      </c>
      <c r="AH4" t="n">
        <v>31797857.83793844</v>
      </c>
    </row>
    <row r="5">
      <c r="A5" t="n">
        <v>4</v>
      </c>
      <c r="B5" t="inlineStr">
        <is>
          <t>2029-06-01</t>
        </is>
      </c>
      <c r="C5" t="inlineStr">
        <is>
          <t>2030-06-01</t>
        </is>
      </c>
      <c r="D5" t="n">
        <v>1</v>
      </c>
      <c r="E5" t="n">
        <v>50000000</v>
      </c>
      <c r="F5" t="n">
        <v>20000000</v>
      </c>
      <c r="G5" t="n">
        <v>2</v>
      </c>
      <c r="H5" t="n">
        <v>0</v>
      </c>
      <c r="I5" t="n">
        <v>375000</v>
      </c>
      <c r="J5" t="n">
        <v>150000</v>
      </c>
      <c r="K5" t="n">
        <v>42500000</v>
      </c>
      <c r="L5" t="n">
        <v>0.0016</v>
      </c>
      <c r="M5" t="n">
        <v>0.0016</v>
      </c>
      <c r="N5" t="n">
        <v>1</v>
      </c>
      <c r="O5" t="n">
        <v>0.2307739615663963</v>
      </c>
      <c r="P5" t="n">
        <v>0.222010625733687</v>
      </c>
      <c r="Q5" t="n">
        <v>-1.668455474521763</v>
      </c>
      <c r="R5" t="n">
        <v>0.06132833332207623</v>
      </c>
      <c r="S5" t="n">
        <v>0.75</v>
      </c>
      <c r="T5" t="n">
        <v>0.033</v>
      </c>
      <c r="U5" t="n">
        <v>0.06132833332207623</v>
      </c>
      <c r="V5" t="n">
        <v>2606454.16618824</v>
      </c>
      <c r="W5" t="n">
        <v>68000</v>
      </c>
      <c r="X5" t="n">
        <v>0</v>
      </c>
      <c r="Y5" t="n">
        <v>225000</v>
      </c>
      <c r="Z5" t="n">
        <v>84709.76040111779</v>
      </c>
      <c r="AA5" t="n">
        <v>241709.7604011178</v>
      </c>
      <c r="AB5" t="n">
        <v>0.06955131713133145</v>
      </c>
      <c r="AC5" t="n">
        <v>695.5131713133145</v>
      </c>
      <c r="AD5" t="n">
        <v>4</v>
      </c>
      <c r="AE5" t="n">
        <v>0.8799130498218871</v>
      </c>
      <c r="AF5" t="n">
        <v>329967.3936832077</v>
      </c>
      <c r="AG5" t="n">
        <v>212683.5724462651</v>
      </c>
      <c r="AH5" t="n">
        <v>17598260.99643774</v>
      </c>
    </row>
    <row r="6">
      <c r="A6" t="n">
        <v>5</v>
      </c>
      <c r="B6" t="inlineStr">
        <is>
          <t>2030-06-01</t>
        </is>
      </c>
      <c r="C6" t="inlineStr">
        <is>
          <t>2031-06-01</t>
        </is>
      </c>
      <c r="D6" t="n">
        <v>1</v>
      </c>
      <c r="E6" t="n">
        <v>50000000</v>
      </c>
      <c r="F6" t="n">
        <v>20000000</v>
      </c>
      <c r="G6" t="n">
        <v>1</v>
      </c>
      <c r="H6" t="n">
        <v>0</v>
      </c>
      <c r="I6" t="n">
        <v>375000</v>
      </c>
      <c r="J6" t="n">
        <v>150000</v>
      </c>
      <c r="K6" t="n">
        <v>42500000</v>
      </c>
      <c r="L6" t="n">
        <v>0.0016</v>
      </c>
      <c r="M6" t="n">
        <v>0.0016</v>
      </c>
      <c r="N6" t="n">
        <v>1</v>
      </c>
      <c r="O6" t="n">
        <v>0.2307739615663963</v>
      </c>
      <c r="P6" t="n">
        <v>0.222010625733687</v>
      </c>
      <c r="Q6" t="n">
        <v>-1.668455474521763</v>
      </c>
      <c r="R6" t="n">
        <v>0.04601267187538539</v>
      </c>
      <c r="S6" t="n">
        <v>0.75</v>
      </c>
      <c r="T6" t="n">
        <v>0.033</v>
      </c>
      <c r="U6" t="n">
        <v>0.04601267187538539</v>
      </c>
      <c r="V6" t="n">
        <v>1955538.554703879</v>
      </c>
      <c r="W6" t="n">
        <v>68000</v>
      </c>
      <c r="X6" t="n">
        <v>0</v>
      </c>
      <c r="Y6" t="n">
        <v>225000</v>
      </c>
      <c r="Z6" t="n">
        <v>63555.00302787607</v>
      </c>
      <c r="AA6" t="n">
        <v>220555.0030278761</v>
      </c>
      <c r="AB6" t="n">
        <v>0.08458859165574238</v>
      </c>
      <c r="AC6" t="n">
        <v>845.8859165574238</v>
      </c>
      <c r="AD6" t="n">
        <v>5</v>
      </c>
      <c r="AE6" t="n">
        <v>0.8522160288831836</v>
      </c>
      <c r="AF6" t="n">
        <v>319581.0108311938</v>
      </c>
      <c r="AG6" t="n">
        <v>187960.5088307351</v>
      </c>
      <c r="AH6" t="n">
        <v>17044320.57766367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Formula</t>
        </is>
      </c>
    </row>
    <row r="2">
      <c r="A2" t="inlineStr">
        <is>
          <t>NPV borrower cost</t>
        </is>
      </c>
      <c r="B2" t="n">
        <v>2426729.898325807</v>
      </c>
      <c r="C2" t="inlineStr">
        <is>
          <t>Σ revenue_i × DF_i</t>
        </is>
      </c>
    </row>
    <row r="3">
      <c r="A3" t="inlineStr">
        <is>
          <t>NPV bank net margin</t>
        </is>
      </c>
      <c r="B3" t="n">
        <v>1649137.656901711</v>
      </c>
      <c r="C3" t="inlineStr">
        <is>
          <t>Σ net_margin_i × DF_i</t>
        </is>
      </c>
    </row>
    <row r="4">
      <c r="A4" t="inlineStr">
        <is>
          <t>NPV drawn balance</t>
        </is>
      </c>
      <c r="B4" t="n">
        <v>133170032.7144571</v>
      </c>
      <c r="C4" t="inlineStr">
        <is>
          <t>Σ avg_drawn_i × dt_i × DF_i</t>
        </is>
      </c>
    </row>
    <row r="5">
      <c r="A5" t="inlineStr">
        <is>
          <t>Effective spread (decimal)</t>
        </is>
      </c>
      <c r="B5" t="n">
        <v>0.01822279268736982</v>
      </c>
      <c r="C5" t="inlineStr">
        <is>
          <t>NPV_borrower_cost / NPV_drawn_balance</t>
        </is>
      </c>
    </row>
    <row r="6">
      <c r="A6" t="inlineStr">
        <is>
          <t>Effective spread (bp)</t>
        </is>
      </c>
      <c r="B6" t="n">
        <v>182.2279268736982</v>
      </c>
      <c r="C6" t="inlineStr">
        <is>
          <t>× 10,000</t>
        </is>
      </c>
    </row>
    <row r="7">
      <c r="A7" t="inlineStr">
        <is>
          <t>FPE-weighted RAROC</t>
        </is>
      </c>
      <c r="B7" t="n">
        <v>0.0773946903250509</v>
      </c>
      <c r="C7" t="inlineStr">
        <is>
          <t>Σ raroc_i × FPE_i × dt_i / Σ FPE_i × dt_i</t>
        </is>
      </c>
    </row>
    <row r="8">
      <c r="A8" t="inlineStr">
        <is>
          <t>Total revenue (undisc)</t>
        </is>
      </c>
      <c r="B8" t="n">
        <v>2637500</v>
      </c>
      <c r="C8" t="inlineStr">
        <is>
          <t>Σ revenue_i</t>
        </is>
      </c>
    </row>
    <row r="9">
      <c r="A9" t="inlineStr">
        <is>
          <t>Total EL (undisc)</t>
        </is>
      </c>
      <c r="B9" t="n">
        <v>358000</v>
      </c>
      <c r="C9" t="inlineStr">
        <is>
          <t>Σ EL_i</t>
        </is>
      </c>
    </row>
    <row r="10">
      <c r="A10" t="inlineStr">
        <is>
          <t>Avg exposure (dt-weighted)</t>
        </is>
      </c>
      <c r="B10" t="n">
        <v>44750000</v>
      </c>
      <c r="C10" t="inlineStr">
        <is>
          <t>Σ exposure_i × dt_i / Σ dt_i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2026-05-14T20:05:57Z</dcterms:created>
  <dcterms:modified xmlns:dcterms="http://purl.org/dc/terms/" xmlns:xsi="http://www.w3.org/2001/XMLSchema-instance" xsi:type="dcterms:W3CDTF">2026-05-14T20:05:57Z</dcterms:modified>
</cp:coreProperties>
</file>