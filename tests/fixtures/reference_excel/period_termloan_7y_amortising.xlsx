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eriods" sheetId="2" state="visible" r:id="rId2"/>
    <sheet xmlns:r="http://schemas.openxmlformats.org/officeDocument/2006/relationships" name="Aggreg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Fixture ID</t>
        </is>
      </c>
      <c r="B1" t="inlineStr">
        <is>
          <t>period_termloan_7y_amortising</t>
        </is>
      </c>
    </row>
    <row r="2">
      <c r="A2" t="inlineStr">
        <is>
          <t>Description</t>
        </is>
      </c>
      <c r="B2" t="inlineStr">
        <is>
          <t>7y bullet-drawn amortising term loan, 70M day-1 drawn, 10M/yr linear paydown to 0. Crossover-credit borrower (Baa3), partially secured (GRR 0.20). 175bp spread, no commit fee (fully drawn day 1), 350k upfront fee in year 1.</t>
        </is>
      </c>
    </row>
    <row r="3">
      <c r="A3" t="inlineStr">
        <is>
          <t>Currency</t>
        </is>
      </c>
      <c r="B3" t="inlineStr">
        <is>
          <t>EUR</t>
        </is>
      </c>
    </row>
    <row r="4">
      <c r="A4" t="inlineStr">
        <is>
          <t>Product type</t>
        </is>
      </c>
      <c r="B4" t="inlineStr">
        <is>
          <t>mlt_credit</t>
        </is>
      </c>
    </row>
    <row r="5">
      <c r="A5" t="inlineStr"/>
      <c r="B5" t="inlineStr"/>
    </row>
    <row r="6">
      <c r="A6" s="1" t="inlineStr">
        <is>
          <t>─ Engine config ─</t>
        </is>
      </c>
      <c r="B6" t="inlineStr"/>
    </row>
    <row r="7">
      <c r="A7" t="inlineStr">
        <is>
          <t>Regime</t>
        </is>
      </c>
      <c r="B7" t="inlineStr">
        <is>
          <t>basel3</t>
        </is>
      </c>
    </row>
    <row r="8">
      <c r="A8" t="inlineStr">
        <is>
          <t>Risk-free rate</t>
        </is>
      </c>
      <c r="B8" t="n">
        <v>0.0325</v>
      </c>
    </row>
    <row r="9">
      <c r="A9" t="inlineStr">
        <is>
          <t>Bank tax rate</t>
        </is>
      </c>
      <c r="B9" t="n">
        <v>0.25</v>
      </c>
    </row>
    <row r="10">
      <c r="A10" t="inlineStr">
        <is>
          <t>Funding cost (decimal)</t>
        </is>
      </c>
      <c r="B10" t="n">
        <v>0</v>
      </c>
    </row>
    <row r="11">
      <c r="A11" t="inlineStr">
        <is>
          <t>Cost-income ratio</t>
        </is>
      </c>
      <c r="B11" t="n">
        <v>0.4</v>
      </c>
    </row>
    <row r="12">
      <c r="A12" t="inlineStr">
        <is>
          <t>Output floor %</t>
        </is>
      </c>
      <c r="B12" t="n">
        <v>0.55</v>
      </c>
    </row>
    <row r="13">
      <c r="A13" t="inlineStr">
        <is>
          <t>PD floor</t>
        </is>
      </c>
      <c r="B13" t="n">
        <v>0.0005</v>
      </c>
    </row>
    <row r="14">
      <c r="A14" t="inlineStr">
        <is>
          <t>LGD floor — unsecured</t>
        </is>
      </c>
      <c r="B14" t="n">
        <v>0.25</v>
      </c>
    </row>
    <row r="15">
      <c r="A15" t="inlineStr">
        <is>
          <t>LGD floor — secured</t>
        </is>
      </c>
      <c r="B15" t="n">
        <v>0.1</v>
      </c>
    </row>
    <row r="16">
      <c r="A16" t="inlineStr">
        <is>
          <t>Default collateral type</t>
        </is>
      </c>
      <c r="B16" t="inlineStr">
        <is>
          <t>receivables</t>
        </is>
      </c>
    </row>
    <row r="17">
      <c r="A17" t="inlineStr"/>
      <c r="B17" t="inlineStr"/>
    </row>
    <row r="18">
      <c r="A18" s="1" t="inlineStr">
        <is>
          <t>─ Deal static ─</t>
        </is>
      </c>
      <c r="B18" t="inlineStr"/>
    </row>
    <row r="19">
      <c r="A19" t="inlineStr">
        <is>
          <t>Rating</t>
        </is>
      </c>
      <c r="B19" t="inlineStr">
        <is>
          <t>Baa3</t>
        </is>
      </c>
    </row>
    <row r="20">
      <c r="A20" t="inlineStr">
        <is>
          <t>PD (Baa3) raw</t>
        </is>
      </c>
      <c r="B20" t="n">
        <v>0.0024</v>
      </c>
    </row>
    <row r="21">
      <c r="A21" t="inlineStr">
        <is>
          <t>Global GRR</t>
        </is>
      </c>
      <c r="B21" t="n">
        <v>0.2</v>
      </c>
    </row>
    <row r="22">
      <c r="A22" t="inlineStr">
        <is>
          <t>Confirmed</t>
        </is>
      </c>
      <c r="B22" t="b">
        <v>1</v>
      </c>
    </row>
    <row r="23">
      <c r="A23" t="inlineStr">
        <is>
          <t>Spread</t>
        </is>
      </c>
      <c r="B23" t="n">
        <v>0.0175</v>
      </c>
    </row>
    <row r="24">
      <c r="A24" t="inlineStr">
        <is>
          <t>Commitment fee</t>
        </is>
      </c>
      <c r="B24" t="n">
        <v>0</v>
      </c>
    </row>
    <row r="25">
      <c r="A25" t="inlineStr"/>
      <c r="B25" t="inlineStr"/>
    </row>
    <row r="26">
      <c r="A26" s="1" t="inlineStr">
        <is>
          <t>─ Discount ─</t>
        </is>
      </c>
      <c r="B26" t="inlineStr"/>
    </row>
    <row r="27">
      <c r="A27" t="inlineStr">
        <is>
          <t>Kind</t>
        </is>
      </c>
      <c r="B27" t="inlineStr">
        <is>
          <t>scalar</t>
        </is>
      </c>
    </row>
    <row r="28">
      <c r="A28" t="inlineStr">
        <is>
          <t>Rate</t>
        </is>
      </c>
      <c r="B28" t="n">
        <v>0.0325</v>
      </c>
    </row>
    <row r="29">
      <c r="A29" t="inlineStr">
        <is>
          <t>Day count</t>
        </is>
      </c>
      <c r="B29" t="inlineStr">
        <is>
          <t>Act/365F</t>
        </is>
      </c>
    </row>
    <row r="30">
      <c r="A30" t="inlineStr"/>
      <c r="B30" t="inlineStr"/>
    </row>
    <row r="31">
      <c r="A31" s="1" t="inlineStr">
        <is>
          <t>─ Formula notes ─</t>
        </is>
      </c>
      <c r="B31" t="inlineStr"/>
    </row>
    <row r="32">
      <c r="A32" t="inlineStr">
        <is>
          <t>PD (after floor)</t>
        </is>
      </c>
      <c r="B32">
        <f>MAX(PD_raw, PD_floor)</f>
        <v/>
      </c>
    </row>
    <row r="33">
      <c r="A33" t="inlineStr">
        <is>
          <t>LGD</t>
        </is>
      </c>
      <c r="B33">
        <f>MAX(1-GRR, LGD_floor)  (floor depends on collateral type)</f>
        <v/>
      </c>
    </row>
    <row r="34">
      <c r="A34" t="inlineStr">
        <is>
          <t>Exposure (confirmed MLT)</t>
        </is>
      </c>
      <c r="B34">
        <f>0.25*avg_drawn + 0.75*commitment</f>
        <v/>
      </c>
    </row>
    <row r="35">
      <c r="A35" t="inlineStr">
        <is>
          <t>R</t>
        </is>
      </c>
      <c r="B35">
        <f>0.12 * (1 + EXP(-50*PD) - 2*EXP(-50)) / (1 - EXP(-50))</f>
        <v/>
      </c>
    </row>
    <row r="36">
      <c r="A36" t="inlineStr">
        <is>
          <t>b</t>
        </is>
      </c>
      <c r="B36">
        <f>(0.11852 - 0.05478*LN(PD))^2</f>
        <v/>
      </c>
    </row>
    <row r="37">
      <c r="A37" t="inlineStr">
        <is>
          <t>z</t>
        </is>
      </c>
      <c r="B37">
        <f>SQRT(1/(1-R))*NORM.S.INV(PD) + SQRT(R/(1-R))*NORM.S.INV(0.999)</f>
        <v/>
      </c>
    </row>
    <row r="38">
      <c r="A38" t="inlineStr">
        <is>
          <t>K_irb</t>
        </is>
      </c>
      <c r="B38">
        <f>LGD * (NORM.S.DIST(z, TRUE) - PD) * (1 + (M-2.5)*b) / (1 - 1.5*b)</f>
        <v/>
      </c>
    </row>
    <row r="39">
      <c r="A39" t="inlineStr">
        <is>
          <t>SA_RW</t>
        </is>
      </c>
      <c r="B39" t="inlineStr">
        <is>
          <t>stepwise: 0.20|0.50|0.75|1.00|1.50 by PD bucket</t>
        </is>
      </c>
    </row>
    <row r="40">
      <c r="A40" t="inlineStr">
        <is>
          <t>K_floor</t>
        </is>
      </c>
      <c r="B40">
        <f>output_floor_pct * SA_RW / 12.5</f>
        <v/>
      </c>
    </row>
    <row r="41">
      <c r="A41" t="inlineStr">
        <is>
          <t>K</t>
        </is>
      </c>
      <c r="B41">
        <f>MAX(K_irb, K_floor)</f>
        <v/>
      </c>
    </row>
    <row r="42">
      <c r="A42" t="inlineStr">
        <is>
          <t>FPE</t>
        </is>
      </c>
      <c r="B42">
        <f>exposure * K</f>
        <v/>
      </c>
    </row>
    <row r="43">
      <c r="A43" t="inlineStr">
        <is>
          <t>EL</t>
        </is>
      </c>
      <c r="B43">
        <f>exposure * PD * (1-GRR) * dt_years</f>
        <v/>
      </c>
    </row>
    <row r="44">
      <c r="A44" t="inlineStr">
        <is>
          <t>Revenue</t>
        </is>
      </c>
      <c r="B44">
        <f>spread*avg_drawn*dt + commit_fee*(commitment-avg_drawn)*dt + period_fees</f>
        <v/>
      </c>
    </row>
    <row r="45">
      <c r="A45" t="inlineStr">
        <is>
          <t>Cost</t>
        </is>
      </c>
      <c r="B45">
        <f>revenue * cost_income_ratio</f>
        <v/>
      </c>
    </row>
    <row r="46">
      <c r="A46" t="inlineStr">
        <is>
          <t>Gross margin</t>
        </is>
      </c>
      <c r="B46">
        <f>revenue - cost - funding_cost</f>
        <v/>
      </c>
    </row>
    <row r="47">
      <c r="A47" t="inlineStr">
        <is>
          <t>FPE return</t>
        </is>
      </c>
      <c r="B47">
        <f>risk_free_rate * FPE * dt_years</f>
        <v/>
      </c>
    </row>
    <row r="48">
      <c r="A48" t="inlineStr">
        <is>
          <t>Net margin</t>
        </is>
      </c>
      <c r="B48">
        <f>gross_margin - EL + fpe_return</f>
        <v/>
      </c>
    </row>
    <row r="49">
      <c r="A49" t="inlineStr">
        <is>
          <t>RAROC</t>
        </is>
      </c>
      <c r="B49">
        <f>(1-tax) * ((revenue-cost-funding_cost-EL)/FPE + risk_free_rate)</f>
        <v/>
      </c>
    </row>
    <row r="50">
      <c r="A50" t="inlineStr">
        <is>
          <t>DF (end of period)</t>
        </is>
      </c>
      <c r="B50">
        <f>(1 + disc_rate) ^ (-t_end_years)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Period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dt_yr</t>
        </is>
      </c>
      <c r="E1" s="1" t="inlineStr">
        <is>
          <t>Commitment</t>
        </is>
      </c>
      <c r="F1" s="1" t="inlineStr">
        <is>
          <t>AvgDrawn</t>
        </is>
      </c>
      <c r="G1" s="1" t="inlineStr">
        <is>
          <t>M_remain_yr</t>
        </is>
      </c>
      <c r="H1" s="1" t="inlineStr">
        <is>
          <t>Upfront</t>
        </is>
      </c>
      <c r="I1" s="1" t="inlineStr">
        <is>
          <t>Revenue</t>
        </is>
      </c>
      <c r="J1" s="1" t="inlineStr">
        <is>
          <t>Cost</t>
        </is>
      </c>
      <c r="K1" s="1" t="inlineStr">
        <is>
          <t>Exposure</t>
        </is>
      </c>
      <c r="L1" s="1" t="inlineStr">
        <is>
          <t>PD</t>
        </is>
      </c>
      <c r="M1" s="1" t="inlineStr">
        <is>
          <t>PD_basel2</t>
        </is>
      </c>
      <c r="N1" s="1" t="inlineStr">
        <is>
          <t>LGD</t>
        </is>
      </c>
      <c r="O1" s="1" t="inlineStr">
        <is>
          <t>R</t>
        </is>
      </c>
      <c r="P1" s="1" t="inlineStr">
        <is>
          <t>b</t>
        </is>
      </c>
      <c r="Q1" s="1" t="inlineStr">
        <is>
          <t>z</t>
        </is>
      </c>
      <c r="R1" s="1" t="inlineStr">
        <is>
          <t>K_irb</t>
        </is>
      </c>
      <c r="S1" s="1" t="inlineStr">
        <is>
          <t>SA_RW</t>
        </is>
      </c>
      <c r="T1" s="1" t="inlineStr">
        <is>
          <t>K_floor</t>
        </is>
      </c>
      <c r="U1" s="1" t="inlineStr">
        <is>
          <t>K</t>
        </is>
      </c>
      <c r="V1" s="1" t="inlineStr">
        <is>
          <t>FPE</t>
        </is>
      </c>
      <c r="W1" s="1" t="inlineStr">
        <is>
          <t>EL</t>
        </is>
      </c>
      <c r="X1" s="1" t="inlineStr">
        <is>
          <t>FundingCost</t>
        </is>
      </c>
      <c r="Y1" s="1" t="inlineStr">
        <is>
          <t>GrossMargin</t>
        </is>
      </c>
      <c r="Z1" s="1" t="inlineStr">
        <is>
          <t>FPEReturn</t>
        </is>
      </c>
      <c r="AA1" s="1" t="inlineStr">
        <is>
          <t>NetMargin</t>
        </is>
      </c>
      <c r="AB1" s="1" t="inlineStr">
        <is>
          <t>RAROC</t>
        </is>
      </c>
      <c r="AC1" s="1" t="inlineStr">
        <is>
          <t>RAROC_bp</t>
        </is>
      </c>
      <c r="AD1" s="1" t="inlineStr">
        <is>
          <t>t_end_yr</t>
        </is>
      </c>
      <c r="AE1" s="1" t="inlineStr">
        <is>
          <t>DF</t>
        </is>
      </c>
      <c r="AF1" s="1" t="inlineStr">
        <is>
          <t>Revenue_PV</t>
        </is>
      </c>
      <c r="AG1" s="1" t="inlineStr">
        <is>
          <t>NetMargin_PV</t>
        </is>
      </c>
      <c r="AH1" s="1" t="inlineStr">
        <is>
          <t>Drawn_PV</t>
        </is>
      </c>
    </row>
    <row r="2">
      <c r="A2" t="n">
        <v>1</v>
      </c>
      <c r="B2" t="inlineStr">
        <is>
          <t>2026-06-01</t>
        </is>
      </c>
      <c r="C2" t="inlineStr">
        <is>
          <t>2027-06-01</t>
        </is>
      </c>
      <c r="D2" t="n">
        <v>1</v>
      </c>
      <c r="E2" t="n">
        <v>70000000</v>
      </c>
      <c r="F2" t="n">
        <v>65000000</v>
      </c>
      <c r="G2" t="n">
        <v>7</v>
      </c>
      <c r="H2" t="n">
        <v>350000</v>
      </c>
      <c r="I2" t="n">
        <v>1487500</v>
      </c>
      <c r="J2" t="n">
        <v>595000</v>
      </c>
      <c r="K2" t="n">
        <v>68750000</v>
      </c>
      <c r="L2" t="n">
        <v>0.0024</v>
      </c>
      <c r="M2" t="n">
        <v>0.00192</v>
      </c>
      <c r="N2" t="n">
        <v>0.8</v>
      </c>
      <c r="O2" t="n">
        <v>0.2264304524060589</v>
      </c>
      <c r="P2" t="n">
        <v>0.2015728547442539</v>
      </c>
      <c r="Q2" t="n">
        <v>-1.534550317947206</v>
      </c>
      <c r="R2" t="n">
        <v>0.131316432398064</v>
      </c>
      <c r="S2" t="n">
        <v>0.75</v>
      </c>
      <c r="T2" t="n">
        <v>0.033</v>
      </c>
      <c r="U2" t="n">
        <v>0.131316432398064</v>
      </c>
      <c r="V2" t="n">
        <v>9028004.7273669</v>
      </c>
      <c r="W2" t="n">
        <v>132000</v>
      </c>
      <c r="X2" t="n">
        <v>0</v>
      </c>
      <c r="Y2" t="n">
        <v>892500</v>
      </c>
      <c r="Z2" t="n">
        <v>293410.1536394242</v>
      </c>
      <c r="AA2" t="n">
        <v>1053910.153639424</v>
      </c>
      <c r="AB2" t="n">
        <v>0.08755341175592241</v>
      </c>
      <c r="AC2" t="n">
        <v>875.534117559224</v>
      </c>
      <c r="AD2" t="n">
        <v>1</v>
      </c>
      <c r="AE2" t="n">
        <v>0.9685230024213075</v>
      </c>
      <c r="AF2" t="n">
        <v>1440677.966101695</v>
      </c>
      <c r="AG2" t="n">
        <v>1020736.226285157</v>
      </c>
      <c r="AH2" t="n">
        <v>62953995.15738499</v>
      </c>
    </row>
    <row r="3">
      <c r="A3" t="n">
        <v>2</v>
      </c>
      <c r="B3" t="inlineStr">
        <is>
          <t>2027-06-01</t>
        </is>
      </c>
      <c r="C3" t="inlineStr">
        <is>
          <t>2028-06-01</t>
        </is>
      </c>
      <c r="D3" t="n">
        <v>1</v>
      </c>
      <c r="E3" t="n">
        <v>60000000</v>
      </c>
      <c r="F3" t="n">
        <v>55000000</v>
      </c>
      <c r="G3" t="n">
        <v>6</v>
      </c>
      <c r="H3" t="n">
        <v>0</v>
      </c>
      <c r="I3" t="n">
        <v>962500.0000000001</v>
      </c>
      <c r="J3" t="n">
        <v>385000.0000000001</v>
      </c>
      <c r="K3" t="n">
        <v>58750000</v>
      </c>
      <c r="L3" t="n">
        <v>0.0024</v>
      </c>
      <c r="M3" t="n">
        <v>0.00192</v>
      </c>
      <c r="N3" t="n">
        <v>0.8</v>
      </c>
      <c r="O3" t="n">
        <v>0.2264304524060589</v>
      </c>
      <c r="P3" t="n">
        <v>0.2015728547442539</v>
      </c>
      <c r="Q3" t="n">
        <v>-1.534550317947206</v>
      </c>
      <c r="R3" t="n">
        <v>0.1174366486210244</v>
      </c>
      <c r="S3" t="n">
        <v>0.75</v>
      </c>
      <c r="T3" t="n">
        <v>0.033</v>
      </c>
      <c r="U3" t="n">
        <v>0.1174366486210244</v>
      </c>
      <c r="V3" t="n">
        <v>6899403.106485181</v>
      </c>
      <c r="W3" t="n">
        <v>112800</v>
      </c>
      <c r="X3" t="n">
        <v>0</v>
      </c>
      <c r="Y3" t="n">
        <v>577500</v>
      </c>
      <c r="Z3" t="n">
        <v>224230.6009607684</v>
      </c>
      <c r="AA3" t="n">
        <v>688930.6009607684</v>
      </c>
      <c r="AB3" t="n">
        <v>0.07489023945200413</v>
      </c>
      <c r="AC3" t="n">
        <v>748.9023945200413</v>
      </c>
      <c r="AD3" t="n">
        <v>2</v>
      </c>
      <c r="AE3" t="n">
        <v>0.9380368062191841</v>
      </c>
      <c r="AF3" t="n">
        <v>902860.4259859647</v>
      </c>
      <c r="AG3" t="n">
        <v>646242.2606319024</v>
      </c>
      <c r="AH3" t="n">
        <v>51592024.34205513</v>
      </c>
    </row>
    <row r="4">
      <c r="A4" t="n">
        <v>3</v>
      </c>
      <c r="B4" t="inlineStr">
        <is>
          <t>2028-06-01</t>
        </is>
      </c>
      <c r="C4" t="inlineStr">
        <is>
          <t>2029-06-01</t>
        </is>
      </c>
      <c r="D4" t="n">
        <v>1</v>
      </c>
      <c r="E4" t="n">
        <v>50000000</v>
      </c>
      <c r="F4" t="n">
        <v>45000000</v>
      </c>
      <c r="G4" t="n">
        <v>5</v>
      </c>
      <c r="H4" t="n">
        <v>0</v>
      </c>
      <c r="I4" t="n">
        <v>787500.0000000001</v>
      </c>
      <c r="J4" t="n">
        <v>315000.0000000001</v>
      </c>
      <c r="K4" t="n">
        <v>48750000</v>
      </c>
      <c r="L4" t="n">
        <v>0.0024</v>
      </c>
      <c r="M4" t="n">
        <v>0.00192</v>
      </c>
      <c r="N4" t="n">
        <v>0.8</v>
      </c>
      <c r="O4" t="n">
        <v>0.2264304524060589</v>
      </c>
      <c r="P4" t="n">
        <v>0.2015728547442539</v>
      </c>
      <c r="Q4" t="n">
        <v>-1.534550317947206</v>
      </c>
      <c r="R4" t="n">
        <v>0.1035568648439847</v>
      </c>
      <c r="S4" t="n">
        <v>0.75</v>
      </c>
      <c r="T4" t="n">
        <v>0.033</v>
      </c>
      <c r="U4" t="n">
        <v>0.1035568648439847</v>
      </c>
      <c r="V4" t="n">
        <v>5048397.161144253</v>
      </c>
      <c r="W4" t="n">
        <v>93599.99999999999</v>
      </c>
      <c r="X4" t="n">
        <v>0</v>
      </c>
      <c r="Y4" t="n">
        <v>472500.0000000001</v>
      </c>
      <c r="Z4" t="n">
        <v>164072.9077371882</v>
      </c>
      <c r="AA4" t="n">
        <v>542972.9077371883</v>
      </c>
      <c r="AB4" t="n">
        <v>0.0806651433720777</v>
      </c>
      <c r="AC4" t="n">
        <v>806.6514337207769</v>
      </c>
      <c r="AD4" t="n">
        <v>3</v>
      </c>
      <c r="AE4" t="n">
        <v>0.9085102239410984</v>
      </c>
      <c r="AF4" t="n">
        <v>715451.8013536151</v>
      </c>
      <c r="AG4" t="n">
        <v>493296.4380022623</v>
      </c>
      <c r="AH4" t="n">
        <v>40882960.07734942</v>
      </c>
    </row>
    <row r="5">
      <c r="A5" t="n">
        <v>4</v>
      </c>
      <c r="B5" t="inlineStr">
        <is>
          <t>2029-06-01</t>
        </is>
      </c>
      <c r="C5" t="inlineStr">
        <is>
          <t>2030-06-01</t>
        </is>
      </c>
      <c r="D5" t="n">
        <v>1</v>
      </c>
      <c r="E5" t="n">
        <v>40000000</v>
      </c>
      <c r="F5" t="n">
        <v>35000000</v>
      </c>
      <c r="G5" t="n">
        <v>4</v>
      </c>
      <c r="H5" t="n">
        <v>0</v>
      </c>
      <c r="I5" t="n">
        <v>612500.0000000001</v>
      </c>
      <c r="J5" t="n">
        <v>245000.0000000001</v>
      </c>
      <c r="K5" t="n">
        <v>38750000</v>
      </c>
      <c r="L5" t="n">
        <v>0.0024</v>
      </c>
      <c r="M5" t="n">
        <v>0.00192</v>
      </c>
      <c r="N5" t="n">
        <v>0.8</v>
      </c>
      <c r="O5" t="n">
        <v>0.2264304524060589</v>
      </c>
      <c r="P5" t="n">
        <v>0.2015728547442539</v>
      </c>
      <c r="Q5" t="n">
        <v>-1.534550317947206</v>
      </c>
      <c r="R5" t="n">
        <v>0.08967708106694501</v>
      </c>
      <c r="S5" t="n">
        <v>0.75</v>
      </c>
      <c r="T5" t="n">
        <v>0.033</v>
      </c>
      <c r="U5" t="n">
        <v>0.08967708106694501</v>
      </c>
      <c r="V5" t="n">
        <v>3474986.891344119</v>
      </c>
      <c r="W5" t="n">
        <v>74400</v>
      </c>
      <c r="X5" t="n">
        <v>0</v>
      </c>
      <c r="Y5" t="n">
        <v>367500.0000000001</v>
      </c>
      <c r="Z5" t="n">
        <v>112937.0739686839</v>
      </c>
      <c r="AA5" t="n">
        <v>406037.073968684</v>
      </c>
      <c r="AB5" t="n">
        <v>0.08763423143697732</v>
      </c>
      <c r="AC5" t="n">
        <v>876.3423143697732</v>
      </c>
      <c r="AD5" t="n">
        <v>4</v>
      </c>
      <c r="AE5" t="n">
        <v>0.8799130498218871</v>
      </c>
      <c r="AF5" t="n">
        <v>538946.743015906</v>
      </c>
      <c r="AG5" t="n">
        <v>357277.3200965399</v>
      </c>
      <c r="AH5" t="n">
        <v>30796956.74376605</v>
      </c>
    </row>
    <row r="6">
      <c r="A6" t="n">
        <v>5</v>
      </c>
      <c r="B6" t="inlineStr">
        <is>
          <t>2030-06-01</t>
        </is>
      </c>
      <c r="C6" t="inlineStr">
        <is>
          <t>2031-06-01</t>
        </is>
      </c>
      <c r="D6" t="n">
        <v>1</v>
      </c>
      <c r="E6" t="n">
        <v>30000000</v>
      </c>
      <c r="F6" t="n">
        <v>25000000</v>
      </c>
      <c r="G6" t="n">
        <v>3</v>
      </c>
      <c r="H6" t="n">
        <v>0</v>
      </c>
      <c r="I6" t="n">
        <v>437500.0000000001</v>
      </c>
      <c r="J6" t="n">
        <v>175000</v>
      </c>
      <c r="K6" t="n">
        <v>28750000</v>
      </c>
      <c r="L6" t="n">
        <v>0.0024</v>
      </c>
      <c r="M6" t="n">
        <v>0.00192</v>
      </c>
      <c r="N6" t="n">
        <v>0.8</v>
      </c>
      <c r="O6" t="n">
        <v>0.2264304524060589</v>
      </c>
      <c r="P6" t="n">
        <v>0.2015728547442539</v>
      </c>
      <c r="Q6" t="n">
        <v>-1.534550317947206</v>
      </c>
      <c r="R6" t="n">
        <v>0.07579729728990531</v>
      </c>
      <c r="S6" t="n">
        <v>0.75</v>
      </c>
      <c r="T6" t="n">
        <v>0.033</v>
      </c>
      <c r="U6" t="n">
        <v>0.07579729728990531</v>
      </c>
      <c r="V6" t="n">
        <v>2179172.297084778</v>
      </c>
      <c r="W6" t="n">
        <v>55199.99999999999</v>
      </c>
      <c r="X6" t="n">
        <v>0</v>
      </c>
      <c r="Y6" t="n">
        <v>262500</v>
      </c>
      <c r="Z6" t="n">
        <v>70823.09965525527</v>
      </c>
      <c r="AA6" t="n">
        <v>278123.0996552553</v>
      </c>
      <c r="AB6" t="n">
        <v>0.09572089596609187</v>
      </c>
      <c r="AC6" t="n">
        <v>957.2089596609187</v>
      </c>
      <c r="AD6" t="n">
        <v>5</v>
      </c>
      <c r="AE6" t="n">
        <v>0.8522160288831836</v>
      </c>
      <c r="AF6" t="n">
        <v>372844.5126363929</v>
      </c>
      <c r="AG6" t="n">
        <v>237020.9635288836</v>
      </c>
      <c r="AH6" t="n">
        <v>21305400.72207959</v>
      </c>
    </row>
    <row r="7">
      <c r="A7" t="n">
        <v>6</v>
      </c>
      <c r="B7" t="inlineStr">
        <is>
          <t>2031-06-01</t>
        </is>
      </c>
      <c r="C7" t="inlineStr">
        <is>
          <t>2032-06-01</t>
        </is>
      </c>
      <c r="D7" t="n">
        <v>1</v>
      </c>
      <c r="E7" t="n">
        <v>20000000</v>
      </c>
      <c r="F7" t="n">
        <v>15000000</v>
      </c>
      <c r="G7" t="n">
        <v>2</v>
      </c>
      <c r="H7" t="n">
        <v>0</v>
      </c>
      <c r="I7" t="n">
        <v>262500</v>
      </c>
      <c r="J7" t="n">
        <v>105000</v>
      </c>
      <c r="K7" t="n">
        <v>18750000</v>
      </c>
      <c r="L7" t="n">
        <v>0.0024</v>
      </c>
      <c r="M7" t="n">
        <v>0.00192</v>
      </c>
      <c r="N7" t="n">
        <v>0.8</v>
      </c>
      <c r="O7" t="n">
        <v>0.2264304524060589</v>
      </c>
      <c r="P7" t="n">
        <v>0.2015728547442539</v>
      </c>
      <c r="Q7" t="n">
        <v>-1.534550317947206</v>
      </c>
      <c r="R7" t="n">
        <v>0.06191751351286564</v>
      </c>
      <c r="S7" t="n">
        <v>0.75</v>
      </c>
      <c r="T7" t="n">
        <v>0.033</v>
      </c>
      <c r="U7" t="n">
        <v>0.06191751351286564</v>
      </c>
      <c r="V7" t="n">
        <v>1160953.378366231</v>
      </c>
      <c r="W7" t="n">
        <v>36000</v>
      </c>
      <c r="X7" t="n">
        <v>0</v>
      </c>
      <c r="Y7" t="n">
        <v>157500</v>
      </c>
      <c r="Z7" t="n">
        <v>37730.9847969025</v>
      </c>
      <c r="AA7" t="n">
        <v>159230.9847969025</v>
      </c>
      <c r="AB7" t="n">
        <v>0.1028665240336671</v>
      </c>
      <c r="AC7" t="n">
        <v>1028.665240336671</v>
      </c>
      <c r="AD7" t="n">
        <v>6</v>
      </c>
      <c r="AE7" t="n">
        <v>0.8253908270055048</v>
      </c>
      <c r="AF7" t="n">
        <v>216665.092088945</v>
      </c>
      <c r="AG7" t="n">
        <v>131427.7942264163</v>
      </c>
      <c r="AH7" t="n">
        <v>12380862.40508257</v>
      </c>
    </row>
    <row r="8">
      <c r="A8" t="n">
        <v>7</v>
      </c>
      <c r="B8" t="inlineStr">
        <is>
          <t>2032-06-01</t>
        </is>
      </c>
      <c r="C8" t="inlineStr">
        <is>
          <t>2033-06-01</t>
        </is>
      </c>
      <c r="D8" t="n">
        <v>1</v>
      </c>
      <c r="E8" t="n">
        <v>10000000</v>
      </c>
      <c r="F8" t="n">
        <v>5000000</v>
      </c>
      <c r="G8" t="n">
        <v>1</v>
      </c>
      <c r="H8" t="n">
        <v>0</v>
      </c>
      <c r="I8" t="n">
        <v>87500.00000000001</v>
      </c>
      <c r="J8" t="n">
        <v>35000.00000000001</v>
      </c>
      <c r="K8" t="n">
        <v>8750000</v>
      </c>
      <c r="L8" t="n">
        <v>0.0024</v>
      </c>
      <c r="M8" t="n">
        <v>0.00192</v>
      </c>
      <c r="N8" t="n">
        <v>0.8</v>
      </c>
      <c r="O8" t="n">
        <v>0.2264304524060589</v>
      </c>
      <c r="P8" t="n">
        <v>0.2015728547442539</v>
      </c>
      <c r="Q8" t="n">
        <v>-1.534550317947206</v>
      </c>
      <c r="R8" t="n">
        <v>0.04803772973582596</v>
      </c>
      <c r="S8" t="n">
        <v>0.75</v>
      </c>
      <c r="T8" t="n">
        <v>0.033</v>
      </c>
      <c r="U8" t="n">
        <v>0.04803772973582596</v>
      </c>
      <c r="V8" t="n">
        <v>420330.1351884771</v>
      </c>
      <c r="W8" t="n">
        <v>16800</v>
      </c>
      <c r="X8" t="n">
        <v>0</v>
      </c>
      <c r="Y8" t="n">
        <v>52500.00000000001</v>
      </c>
      <c r="Z8" t="n">
        <v>13660.72939362551</v>
      </c>
      <c r="AA8" t="n">
        <v>49360.72939362552</v>
      </c>
      <c r="AB8" t="n">
        <v>0.08807492955178917</v>
      </c>
      <c r="AC8" t="n">
        <v>880.7492955178917</v>
      </c>
      <c r="AD8" t="n">
        <v>7</v>
      </c>
      <c r="AE8" t="n">
        <v>0.7994100019423775</v>
      </c>
      <c r="AF8" t="n">
        <v>69948.37516995805</v>
      </c>
      <c r="AG8" t="n">
        <v>39459.46078043534</v>
      </c>
      <c r="AH8" t="n">
        <v>3997050.009711888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Formula</t>
        </is>
      </c>
    </row>
    <row r="2">
      <c r="A2" t="inlineStr">
        <is>
          <t>NPV borrower cost</t>
        </is>
      </c>
      <c r="B2" t="n">
        <v>4257394.916352477</v>
      </c>
      <c r="C2" t="inlineStr">
        <is>
          <t>Σ revenue_i × DF_i</t>
        </is>
      </c>
    </row>
    <row r="3">
      <c r="A3" t="inlineStr">
        <is>
          <t>NPV bank net margin</t>
        </is>
      </c>
      <c r="B3" t="n">
        <v>2925460.463551596</v>
      </c>
      <c r="C3" t="inlineStr">
        <is>
          <t>Σ net_margin_i × DF_i</t>
        </is>
      </c>
    </row>
    <row r="4">
      <c r="A4" t="inlineStr">
        <is>
          <t>NPV drawn balance</t>
        </is>
      </c>
      <c r="B4" t="n">
        <v>223909249.4574296</v>
      </c>
      <c r="C4" t="inlineStr">
        <is>
          <t>Σ avg_drawn_i × dt_i × DF_i</t>
        </is>
      </c>
    </row>
    <row r="5">
      <c r="A5" t="inlineStr">
        <is>
          <t>Effective spread (decimal)</t>
        </is>
      </c>
      <c r="B5" t="n">
        <v>0.01901393053957741</v>
      </c>
      <c r="C5" t="inlineStr">
        <is>
          <t>NPV_borrower_cost / NPV_drawn_balance</t>
        </is>
      </c>
    </row>
    <row r="6">
      <c r="A6" t="inlineStr">
        <is>
          <t>Effective spread (bp)</t>
        </is>
      </c>
      <c r="B6" t="n">
        <v>190.139305395774</v>
      </c>
      <c r="C6" t="inlineStr">
        <is>
          <t>× 10,000</t>
        </is>
      </c>
    </row>
    <row r="7">
      <c r="A7" t="inlineStr">
        <is>
          <t>FPE-weighted RAROC</t>
        </is>
      </c>
      <c r="B7" t="n">
        <v>0.08450261357526166</v>
      </c>
      <c r="C7" t="inlineStr">
        <is>
          <t>Σ raroc_i × FPE_i × dt_i / Σ FPE_i × dt_i</t>
        </is>
      </c>
    </row>
    <row r="8">
      <c r="A8" t="inlineStr">
        <is>
          <t>Total revenue (undisc)</t>
        </is>
      </c>
      <c r="B8" t="n">
        <v>4637500</v>
      </c>
      <c r="C8" t="inlineStr">
        <is>
          <t>Σ revenue_i</t>
        </is>
      </c>
    </row>
    <row r="9">
      <c r="A9" t="inlineStr">
        <is>
          <t>Total EL (undisc)</t>
        </is>
      </c>
      <c r="B9" t="n">
        <v>520799.9999999999</v>
      </c>
      <c r="C9" t="inlineStr">
        <is>
          <t>Σ EL_i</t>
        </is>
      </c>
    </row>
    <row r="10">
      <c r="A10" t="inlineStr">
        <is>
          <t>Avg exposure (dt-weighted)</t>
        </is>
      </c>
      <c r="B10" t="n">
        <v>38750000</v>
      </c>
      <c r="C10" t="inlineStr">
        <is>
          <t>Σ exposure_i × dt_i / Σ dt_i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2026-05-14T20:05:58Z</dcterms:created>
  <dcterms:modified xmlns:dcterms="http://purl.org/dc/terms/" xmlns:xsi="http://www.w3.org/2001/XMLSchema-instance" xsi:type="dcterms:W3CDTF">2026-05-14T20:05:58Z</dcterms:modified>
</cp:coreProperties>
</file>